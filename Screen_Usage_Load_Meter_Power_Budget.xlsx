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daviii/Desktop/514 Hardware Software Lab I/System Architecture with Diagram/"/>
    </mc:Choice>
  </mc:AlternateContent>
  <xr:revisionPtr revIDLastSave="0" documentId="8_{0D4BD356-FC57-E146-8B8D-28251202AAC0}" xr6:coauthVersionLast="47" xr6:coauthVersionMax="47" xr10:uidLastSave="{00000000-0000-0000-0000-000000000000}"/>
  <bookViews>
    <workbookView xWindow="0" yWindow="520" windowWidth="26240" windowHeight="16440" tabRatio="500" xr2:uid="{00000000-000D-0000-FFFF-FFFF00000000}"/>
  </bookViews>
  <sheets>
    <sheet name="System Parameters" sheetId="1" r:id="rId1"/>
    <sheet name="Sensitivity Analysi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18" i="2" l="1"/>
  <c r="U118" i="2"/>
  <c r="T118" i="2"/>
  <c r="S118" i="2"/>
  <c r="R118" i="2"/>
  <c r="Q118" i="2"/>
  <c r="P118" i="2"/>
  <c r="O118" i="2"/>
  <c r="D118" i="2"/>
  <c r="C118" i="2"/>
  <c r="B118" i="2"/>
  <c r="A118" i="2"/>
  <c r="V117" i="2"/>
  <c r="U117" i="2"/>
  <c r="T117" i="2"/>
  <c r="S117" i="2"/>
  <c r="R117" i="2"/>
  <c r="Q117" i="2"/>
  <c r="P117" i="2"/>
  <c r="O117" i="2"/>
  <c r="D117" i="2"/>
  <c r="C117" i="2"/>
  <c r="B117" i="2"/>
  <c r="A117" i="2"/>
  <c r="V116" i="2"/>
  <c r="U116" i="2"/>
  <c r="T116" i="2"/>
  <c r="S116" i="2"/>
  <c r="R116" i="2"/>
  <c r="Q116" i="2"/>
  <c r="P116" i="2"/>
  <c r="O116" i="2"/>
  <c r="D116" i="2"/>
  <c r="C116" i="2"/>
  <c r="B116" i="2"/>
  <c r="A116" i="2"/>
  <c r="V115" i="2"/>
  <c r="U115" i="2"/>
  <c r="T115" i="2"/>
  <c r="S115" i="2"/>
  <c r="R115" i="2"/>
  <c r="Q115" i="2"/>
  <c r="P115" i="2"/>
  <c r="O115" i="2"/>
  <c r="D115" i="2"/>
  <c r="C115" i="2"/>
  <c r="B115" i="2"/>
  <c r="A115" i="2"/>
  <c r="V114" i="2"/>
  <c r="U114" i="2"/>
  <c r="T114" i="2"/>
  <c r="S114" i="2"/>
  <c r="R114" i="2"/>
  <c r="Q114" i="2"/>
  <c r="P114" i="2"/>
  <c r="O114" i="2"/>
  <c r="D114" i="2"/>
  <c r="C114" i="2"/>
  <c r="B114" i="2"/>
  <c r="A114" i="2"/>
  <c r="V113" i="2"/>
  <c r="U113" i="2"/>
  <c r="T113" i="2"/>
  <c r="S113" i="2"/>
  <c r="R113" i="2"/>
  <c r="Q113" i="2"/>
  <c r="P113" i="2"/>
  <c r="O113" i="2"/>
  <c r="D113" i="2"/>
  <c r="C113" i="2"/>
  <c r="B113" i="2"/>
  <c r="A113" i="2"/>
  <c r="V112" i="2"/>
  <c r="U112" i="2"/>
  <c r="T112" i="2"/>
  <c r="S112" i="2"/>
  <c r="R112" i="2"/>
  <c r="Q112" i="2"/>
  <c r="P112" i="2"/>
  <c r="O112" i="2"/>
  <c r="D112" i="2"/>
  <c r="C112" i="2"/>
  <c r="B112" i="2"/>
  <c r="A112" i="2"/>
  <c r="V111" i="2"/>
  <c r="U111" i="2"/>
  <c r="T111" i="2"/>
  <c r="S111" i="2"/>
  <c r="R111" i="2"/>
  <c r="Q111" i="2"/>
  <c r="P111" i="2"/>
  <c r="O111" i="2"/>
  <c r="D111" i="2"/>
  <c r="C111" i="2"/>
  <c r="B111" i="2"/>
  <c r="A111" i="2"/>
  <c r="V110" i="2"/>
  <c r="U110" i="2"/>
  <c r="T110" i="2"/>
  <c r="S110" i="2"/>
  <c r="R110" i="2"/>
  <c r="Q110" i="2"/>
  <c r="P110" i="2"/>
  <c r="O110" i="2"/>
  <c r="D110" i="2"/>
  <c r="C110" i="2"/>
  <c r="B110" i="2"/>
  <c r="A110" i="2"/>
  <c r="V109" i="2"/>
  <c r="U109" i="2"/>
  <c r="T109" i="2"/>
  <c r="S109" i="2"/>
  <c r="R109" i="2"/>
  <c r="Q109" i="2"/>
  <c r="P109" i="2"/>
  <c r="O109" i="2"/>
  <c r="D109" i="2"/>
  <c r="C109" i="2"/>
  <c r="B109" i="2"/>
  <c r="A109" i="2"/>
  <c r="V108" i="2"/>
  <c r="U108" i="2"/>
  <c r="T108" i="2"/>
  <c r="S108" i="2"/>
  <c r="R108" i="2"/>
  <c r="Q108" i="2"/>
  <c r="P108" i="2"/>
  <c r="O108" i="2"/>
  <c r="D108" i="2"/>
  <c r="C108" i="2"/>
  <c r="B108" i="2"/>
  <c r="A108" i="2"/>
  <c r="V107" i="2"/>
  <c r="U107" i="2"/>
  <c r="T107" i="2"/>
  <c r="S107" i="2"/>
  <c r="R107" i="2"/>
  <c r="Q107" i="2"/>
  <c r="P107" i="2"/>
  <c r="O107" i="2"/>
  <c r="D107" i="2"/>
  <c r="C107" i="2"/>
  <c r="B107" i="2"/>
  <c r="A107" i="2"/>
  <c r="V106" i="2"/>
  <c r="U106" i="2"/>
  <c r="T106" i="2"/>
  <c r="S106" i="2"/>
  <c r="R106" i="2"/>
  <c r="Q106" i="2"/>
  <c r="P106" i="2"/>
  <c r="O106" i="2"/>
  <c r="D106" i="2"/>
  <c r="C106" i="2"/>
  <c r="B106" i="2"/>
  <c r="A106" i="2"/>
  <c r="V105" i="2"/>
  <c r="U105" i="2"/>
  <c r="T105" i="2"/>
  <c r="S105" i="2"/>
  <c r="R105" i="2"/>
  <c r="Q105" i="2"/>
  <c r="P105" i="2"/>
  <c r="O105" i="2"/>
  <c r="D105" i="2"/>
  <c r="C105" i="2"/>
  <c r="B105" i="2"/>
  <c r="A105" i="2"/>
  <c r="V104" i="2"/>
  <c r="U104" i="2"/>
  <c r="T104" i="2"/>
  <c r="S104" i="2"/>
  <c r="R104" i="2"/>
  <c r="Q104" i="2"/>
  <c r="P104" i="2"/>
  <c r="O104" i="2"/>
  <c r="D104" i="2"/>
  <c r="C104" i="2"/>
  <c r="B104" i="2"/>
  <c r="A104" i="2"/>
  <c r="V103" i="2"/>
  <c r="U103" i="2"/>
  <c r="T103" i="2"/>
  <c r="S103" i="2"/>
  <c r="R103" i="2"/>
  <c r="Q103" i="2"/>
  <c r="P103" i="2"/>
  <c r="O103" i="2"/>
  <c r="D103" i="2"/>
  <c r="C103" i="2"/>
  <c r="B103" i="2"/>
  <c r="A103" i="2"/>
  <c r="V102" i="2"/>
  <c r="U102" i="2"/>
  <c r="T102" i="2"/>
  <c r="S102" i="2"/>
  <c r="R102" i="2"/>
  <c r="Q102" i="2"/>
  <c r="P102" i="2"/>
  <c r="O102" i="2"/>
  <c r="D102" i="2"/>
  <c r="C102" i="2"/>
  <c r="B102" i="2"/>
  <c r="A102" i="2"/>
  <c r="V101" i="2"/>
  <c r="U101" i="2"/>
  <c r="T101" i="2"/>
  <c r="S101" i="2"/>
  <c r="R101" i="2"/>
  <c r="Q101" i="2"/>
  <c r="P101" i="2"/>
  <c r="O101" i="2"/>
  <c r="D101" i="2"/>
  <c r="C101" i="2"/>
  <c r="B101" i="2"/>
  <c r="A101" i="2"/>
  <c r="V100" i="2"/>
  <c r="U100" i="2"/>
  <c r="T100" i="2"/>
  <c r="S100" i="2"/>
  <c r="R100" i="2"/>
  <c r="Q100" i="2"/>
  <c r="P100" i="2"/>
  <c r="O100" i="2"/>
  <c r="D100" i="2"/>
  <c r="C100" i="2"/>
  <c r="B100" i="2"/>
  <c r="A100" i="2"/>
  <c r="V99" i="2"/>
  <c r="U99" i="2"/>
  <c r="T99" i="2"/>
  <c r="S99" i="2"/>
  <c r="R99" i="2"/>
  <c r="Q99" i="2"/>
  <c r="P99" i="2"/>
  <c r="C99" i="2"/>
  <c r="B99" i="2"/>
  <c r="V98" i="2"/>
  <c r="U98" i="2"/>
  <c r="T98" i="2"/>
  <c r="S98" i="2"/>
  <c r="R98" i="2"/>
  <c r="Q98" i="2"/>
  <c r="P98" i="2"/>
  <c r="C98" i="2"/>
  <c r="B98" i="2"/>
  <c r="V97" i="2"/>
  <c r="U97" i="2"/>
  <c r="T97" i="2"/>
  <c r="S97" i="2"/>
  <c r="R97" i="2"/>
  <c r="Q97" i="2"/>
  <c r="P97" i="2"/>
  <c r="O97" i="2"/>
  <c r="D97" i="2"/>
  <c r="C97" i="2"/>
  <c r="B97" i="2"/>
  <c r="A97" i="2"/>
  <c r="V96" i="2"/>
  <c r="U96" i="2"/>
  <c r="T96" i="2"/>
  <c r="S96" i="2"/>
  <c r="R96" i="2"/>
  <c r="Q96" i="2"/>
  <c r="P96" i="2"/>
  <c r="C96" i="2"/>
  <c r="A96" i="2"/>
  <c r="V95" i="2"/>
  <c r="U95" i="2"/>
  <c r="T95" i="2"/>
  <c r="S95" i="2"/>
  <c r="R95" i="2"/>
  <c r="Q95" i="2"/>
  <c r="P95" i="2"/>
  <c r="C95" i="2"/>
  <c r="A95" i="2"/>
  <c r="V94" i="2"/>
  <c r="U94" i="2"/>
  <c r="T94" i="2"/>
  <c r="S94" i="2"/>
  <c r="R94" i="2"/>
  <c r="Q94" i="2"/>
  <c r="P94" i="2"/>
  <c r="O94" i="2"/>
  <c r="N94" i="2"/>
  <c r="M94" i="2"/>
  <c r="L94" i="2"/>
  <c r="K94" i="2"/>
  <c r="J94" i="2"/>
  <c r="I94" i="2"/>
  <c r="H94" i="2"/>
  <c r="G94" i="2"/>
  <c r="F94" i="2"/>
  <c r="E94" i="2"/>
  <c r="D94" i="2"/>
  <c r="C94" i="2"/>
  <c r="B94" i="2"/>
  <c r="A94" i="2"/>
  <c r="V93" i="2"/>
  <c r="U93" i="2"/>
  <c r="T93" i="2"/>
  <c r="S93" i="2"/>
  <c r="R93" i="2"/>
  <c r="Q93" i="2"/>
  <c r="P93" i="2"/>
  <c r="C93" i="2"/>
  <c r="A93" i="2"/>
  <c r="V92" i="2"/>
  <c r="U92" i="2"/>
  <c r="T92" i="2"/>
  <c r="S92" i="2"/>
  <c r="R92" i="2"/>
  <c r="Q92" i="2"/>
  <c r="P92" i="2"/>
  <c r="O92" i="2"/>
  <c r="N92" i="2"/>
  <c r="M92" i="2"/>
  <c r="L92" i="2"/>
  <c r="K92" i="2"/>
  <c r="J92" i="2"/>
  <c r="I92" i="2"/>
  <c r="H92" i="2"/>
  <c r="G92" i="2"/>
  <c r="F92" i="2"/>
  <c r="E92" i="2"/>
  <c r="D92" i="2"/>
  <c r="C92" i="2"/>
  <c r="B92" i="2"/>
  <c r="A92" i="2"/>
  <c r="V91" i="2"/>
  <c r="U91" i="2"/>
  <c r="T91" i="2"/>
  <c r="S91" i="2"/>
  <c r="R91" i="2"/>
  <c r="O91" i="2"/>
  <c r="N91" i="2"/>
  <c r="M91" i="2"/>
  <c r="L91" i="2"/>
  <c r="K91" i="2"/>
  <c r="J91" i="2"/>
  <c r="I91" i="2"/>
  <c r="H91" i="2"/>
  <c r="G91" i="2"/>
  <c r="F91" i="2"/>
  <c r="E91" i="2"/>
  <c r="D91" i="2"/>
  <c r="C91" i="2"/>
  <c r="B91" i="2"/>
  <c r="A91" i="2"/>
  <c r="V90" i="2"/>
  <c r="U90" i="2"/>
  <c r="T90" i="2"/>
  <c r="S90" i="2"/>
  <c r="R90" i="2"/>
  <c r="C90" i="2"/>
  <c r="V89" i="2"/>
  <c r="U89" i="2"/>
  <c r="T89" i="2"/>
  <c r="S89" i="2"/>
  <c r="R89" i="2"/>
  <c r="C89" i="2"/>
  <c r="V88" i="2"/>
  <c r="U88" i="2"/>
  <c r="T88" i="2"/>
  <c r="S88" i="2"/>
  <c r="R88" i="2"/>
  <c r="C88" i="2"/>
  <c r="A88" i="2"/>
  <c r="V87" i="2"/>
  <c r="U87" i="2"/>
  <c r="T87" i="2"/>
  <c r="S87" i="2"/>
  <c r="R87" i="2"/>
  <c r="C87" i="2"/>
  <c r="B87" i="2"/>
  <c r="A87" i="2"/>
  <c r="V86" i="2"/>
  <c r="U86" i="2"/>
  <c r="T86" i="2"/>
  <c r="S86" i="2"/>
  <c r="R86" i="2"/>
  <c r="Q86" i="2"/>
  <c r="P86" i="2"/>
  <c r="O86" i="2"/>
  <c r="D86" i="2"/>
  <c r="C86" i="2"/>
  <c r="B86" i="2"/>
  <c r="A86" i="2"/>
  <c r="V85" i="2"/>
  <c r="U85" i="2"/>
  <c r="T85" i="2"/>
  <c r="S85" i="2"/>
  <c r="R85" i="2"/>
  <c r="Q85" i="2"/>
  <c r="P85" i="2"/>
  <c r="O85" i="2"/>
  <c r="D85" i="2"/>
  <c r="C85" i="2"/>
  <c r="B85" i="2"/>
  <c r="A85" i="2"/>
  <c r="V84" i="2"/>
  <c r="U84" i="2"/>
  <c r="T84" i="2"/>
  <c r="S84" i="2"/>
  <c r="R84" i="2"/>
  <c r="Q84" i="2"/>
  <c r="P84" i="2"/>
  <c r="O84" i="2"/>
  <c r="D84" i="2"/>
  <c r="C84" i="2"/>
  <c r="B84" i="2"/>
  <c r="A84" i="2"/>
  <c r="V83" i="2"/>
  <c r="U83" i="2"/>
  <c r="T83" i="2"/>
  <c r="S83" i="2"/>
  <c r="R83" i="2"/>
  <c r="Q83" i="2"/>
  <c r="P83" i="2"/>
  <c r="O83" i="2"/>
  <c r="D83" i="2"/>
  <c r="C83" i="2"/>
  <c r="B83" i="2"/>
  <c r="A83" i="2"/>
  <c r="W82" i="2"/>
  <c r="V82" i="2"/>
  <c r="U82" i="2"/>
  <c r="T82" i="2"/>
  <c r="D82" i="2"/>
  <c r="C82" i="2"/>
  <c r="B82" i="2"/>
  <c r="A82" i="2"/>
  <c r="W81" i="2"/>
  <c r="V81" i="2"/>
  <c r="U81" i="2"/>
  <c r="T81" i="2"/>
  <c r="D81" i="2"/>
  <c r="C81" i="2"/>
  <c r="B81" i="2"/>
  <c r="A81" i="2"/>
  <c r="W80" i="2"/>
  <c r="V80" i="2"/>
  <c r="U80" i="2"/>
  <c r="T80" i="2"/>
  <c r="D80" i="2"/>
  <c r="C80" i="2"/>
  <c r="B80" i="2"/>
  <c r="A80" i="2"/>
  <c r="W79" i="2"/>
  <c r="V79" i="2"/>
  <c r="U79" i="2"/>
  <c r="T79" i="2"/>
  <c r="D79" i="2"/>
  <c r="C79" i="2"/>
  <c r="B79" i="2"/>
  <c r="A79" i="2"/>
  <c r="W78" i="2"/>
  <c r="V78" i="2"/>
  <c r="U78" i="2"/>
  <c r="T78" i="2"/>
  <c r="D78" i="2"/>
  <c r="C78" i="2"/>
  <c r="B78" i="2"/>
  <c r="A78" i="2"/>
  <c r="W77" i="2"/>
  <c r="V77" i="2"/>
  <c r="U77" i="2"/>
  <c r="T77" i="2"/>
  <c r="D77" i="2"/>
  <c r="C77" i="2"/>
  <c r="B77" i="2"/>
  <c r="A77" i="2"/>
  <c r="W76" i="2"/>
  <c r="V76" i="2"/>
  <c r="U76" i="2"/>
  <c r="T76" i="2"/>
  <c r="C76" i="2"/>
  <c r="B76" i="2"/>
  <c r="G76" i="2" s="1"/>
  <c r="A76" i="2"/>
  <c r="W75" i="2"/>
  <c r="V75" i="2"/>
  <c r="U75" i="2"/>
  <c r="T75" i="2"/>
  <c r="C75" i="2"/>
  <c r="B75" i="2"/>
  <c r="N75" i="2" s="1"/>
  <c r="A75" i="2"/>
  <c r="W74" i="2"/>
  <c r="V74" i="2"/>
  <c r="U74" i="2"/>
  <c r="T74" i="2"/>
  <c r="O74" i="2"/>
  <c r="C74" i="2"/>
  <c r="B74" i="2"/>
  <c r="I74" i="2" s="1"/>
  <c r="A74" i="2"/>
  <c r="W73" i="2"/>
  <c r="V73" i="2"/>
  <c r="U73" i="2"/>
  <c r="T73" i="2"/>
  <c r="C73" i="2"/>
  <c r="B73" i="2"/>
  <c r="D73" i="2" s="1"/>
  <c r="A73" i="2"/>
  <c r="W72" i="2"/>
  <c r="V72" i="2"/>
  <c r="U72" i="2"/>
  <c r="T72" i="2"/>
  <c r="C72" i="2"/>
  <c r="B72" i="2"/>
  <c r="K72" i="2" s="1"/>
  <c r="A72" i="2"/>
  <c r="W71" i="2"/>
  <c r="V71" i="2"/>
  <c r="U71" i="2"/>
  <c r="T71" i="2"/>
  <c r="C71" i="2"/>
  <c r="B71" i="2"/>
  <c r="F71" i="2" s="1"/>
  <c r="A71" i="2"/>
  <c r="W70" i="2"/>
  <c r="V70" i="2"/>
  <c r="U70" i="2"/>
  <c r="T70" i="2"/>
  <c r="J70" i="2"/>
  <c r="C70" i="2"/>
  <c r="B70" i="2"/>
  <c r="M70" i="2" s="1"/>
  <c r="A70" i="2"/>
  <c r="W69" i="2"/>
  <c r="V69" i="2"/>
  <c r="U69" i="2"/>
  <c r="T69" i="2"/>
  <c r="L69" i="2"/>
  <c r="F69" i="2"/>
  <c r="C69" i="2"/>
  <c r="B69" i="2"/>
  <c r="H69" i="2" s="1"/>
  <c r="A69" i="2"/>
  <c r="W68" i="2"/>
  <c r="V68" i="2"/>
  <c r="U68" i="2"/>
  <c r="T68" i="2"/>
  <c r="K68" i="2"/>
  <c r="C68" i="2"/>
  <c r="B68" i="2"/>
  <c r="O68" i="2" s="1"/>
  <c r="A68" i="2"/>
  <c r="W67" i="2"/>
  <c r="V67" i="2"/>
  <c r="U67" i="2"/>
  <c r="T67" i="2"/>
  <c r="C67" i="2"/>
  <c r="B67" i="2"/>
  <c r="J67" i="2" s="1"/>
  <c r="A67" i="2"/>
  <c r="W66" i="2"/>
  <c r="V66" i="2"/>
  <c r="U66" i="2"/>
  <c r="T66" i="2"/>
  <c r="I66" i="2"/>
  <c r="C66" i="2"/>
  <c r="B66" i="2"/>
  <c r="E66" i="2" s="1"/>
  <c r="A66" i="2"/>
  <c r="W65" i="2"/>
  <c r="V65" i="2"/>
  <c r="U65" i="2"/>
  <c r="T65" i="2"/>
  <c r="C65" i="2"/>
  <c r="B65" i="2"/>
  <c r="L65" i="2" s="1"/>
  <c r="A65" i="2"/>
  <c r="W64" i="2"/>
  <c r="V64" i="2"/>
  <c r="U64" i="2"/>
  <c r="T64" i="2"/>
  <c r="C64" i="2"/>
  <c r="B64" i="2"/>
  <c r="G64" i="2" s="1"/>
  <c r="A64" i="2"/>
  <c r="W63" i="2"/>
  <c r="V63" i="2"/>
  <c r="U63" i="2"/>
  <c r="T63" i="2"/>
  <c r="C63" i="2"/>
  <c r="B63" i="2"/>
  <c r="N63" i="2" s="1"/>
  <c r="A63" i="2"/>
  <c r="W62" i="2"/>
  <c r="V62" i="2"/>
  <c r="U62" i="2"/>
  <c r="T62" i="2"/>
  <c r="H62" i="2"/>
  <c r="C62" i="2"/>
  <c r="B62" i="2"/>
  <c r="I62" i="2" s="1"/>
  <c r="A62" i="2"/>
  <c r="W61" i="2"/>
  <c r="V61" i="2"/>
  <c r="U61" i="2"/>
  <c r="T61" i="2"/>
  <c r="C61" i="2"/>
  <c r="B61" i="2"/>
  <c r="D61" i="2" s="1"/>
  <c r="A61" i="2"/>
  <c r="W60" i="2"/>
  <c r="V60" i="2"/>
  <c r="U60" i="2"/>
  <c r="T60" i="2"/>
  <c r="C60" i="2"/>
  <c r="B60" i="2"/>
  <c r="K60" i="2" s="1"/>
  <c r="A60" i="2"/>
  <c r="W59" i="2"/>
  <c r="V59" i="2"/>
  <c r="U59" i="2"/>
  <c r="T59" i="2"/>
  <c r="C59" i="2"/>
  <c r="B59" i="2"/>
  <c r="F59" i="2" s="1"/>
  <c r="A59" i="2"/>
  <c r="W58" i="2"/>
  <c r="V58" i="2"/>
  <c r="U58" i="2"/>
  <c r="T58" i="2"/>
  <c r="H58" i="2"/>
  <c r="C58" i="2"/>
  <c r="B58" i="2"/>
  <c r="M58" i="2" s="1"/>
  <c r="A58" i="2"/>
  <c r="W57" i="2"/>
  <c r="V57" i="2"/>
  <c r="U57" i="2"/>
  <c r="T57" i="2"/>
  <c r="C57" i="2"/>
  <c r="B57" i="2"/>
  <c r="H57" i="2" s="1"/>
  <c r="A57" i="2"/>
  <c r="W56" i="2"/>
  <c r="V56" i="2"/>
  <c r="U56" i="2"/>
  <c r="T56" i="2"/>
  <c r="L56" i="2"/>
  <c r="K56" i="2"/>
  <c r="C56" i="2"/>
  <c r="B56" i="2"/>
  <c r="O56" i="2" s="1"/>
  <c r="A56" i="2"/>
  <c r="W55" i="2"/>
  <c r="V55" i="2"/>
  <c r="U55" i="2"/>
  <c r="T55" i="2"/>
  <c r="D55" i="2"/>
  <c r="C55" i="2"/>
  <c r="B55" i="2"/>
  <c r="A55" i="2"/>
  <c r="W54" i="2"/>
  <c r="V54" i="2"/>
  <c r="U54" i="2"/>
  <c r="T54" i="2"/>
  <c r="D54" i="2"/>
  <c r="C54" i="2"/>
  <c r="B54" i="2"/>
  <c r="A54" i="2"/>
  <c r="W53" i="2"/>
  <c r="V53" i="2"/>
  <c r="U53" i="2"/>
  <c r="T53" i="2"/>
  <c r="D53" i="2"/>
  <c r="C53" i="2"/>
  <c r="B53" i="2"/>
  <c r="A53" i="2"/>
  <c r="W52" i="2"/>
  <c r="V52" i="2"/>
  <c r="U52" i="2"/>
  <c r="T52" i="2"/>
  <c r="D52" i="2"/>
  <c r="C52" i="2"/>
  <c r="B52" i="2"/>
  <c r="A52" i="2"/>
  <c r="M31" i="1"/>
  <c r="M33" i="1" s="1"/>
  <c r="M34" i="1" s="1"/>
  <c r="M28" i="1"/>
  <c r="O28" i="1" s="1"/>
  <c r="L28" i="1"/>
  <c r="A90" i="2" s="1"/>
  <c r="O27" i="1"/>
  <c r="M27" i="1"/>
  <c r="L27" i="1"/>
  <c r="A89" i="2" s="1"/>
  <c r="M26" i="1"/>
  <c r="O26" i="1" s="1"/>
  <c r="L26" i="1"/>
  <c r="D74" i="2" l="1"/>
  <c r="I71" i="2"/>
  <c r="G75" i="2"/>
  <c r="D68" i="2"/>
  <c r="G70" i="2"/>
  <c r="J71" i="2"/>
  <c r="E74" i="2"/>
  <c r="H75" i="2"/>
  <c r="F68" i="2"/>
  <c r="H70" i="2"/>
  <c r="M71" i="2"/>
  <c r="L74" i="2"/>
  <c r="I75" i="2"/>
  <c r="G68" i="2"/>
  <c r="K69" i="2"/>
  <c r="I70" i="2"/>
  <c r="M74" i="2"/>
  <c r="J75" i="2"/>
  <c r="K75" i="2"/>
  <c r="J62" i="2"/>
  <c r="L68" i="2"/>
  <c r="O69" i="2"/>
  <c r="M75" i="2"/>
  <c r="M68" i="2"/>
  <c r="O75" i="2"/>
  <c r="M61" i="2"/>
  <c r="D58" i="2"/>
  <c r="M56" i="2"/>
  <c r="L62" i="2"/>
  <c r="D65" i="2"/>
  <c r="M62" i="2"/>
  <c r="E65" i="2"/>
  <c r="J76" i="2"/>
  <c r="I59" i="2"/>
  <c r="O62" i="2"/>
  <c r="F65" i="2"/>
  <c r="G73" i="2"/>
  <c r="J59" i="2"/>
  <c r="I65" i="2"/>
  <c r="H66" i="2"/>
  <c r="H73" i="2"/>
  <c r="J65" i="2"/>
  <c r="I58" i="2"/>
  <c r="G61" i="2"/>
  <c r="M66" i="2"/>
  <c r="G56" i="2"/>
  <c r="H61" i="2"/>
  <c r="E62" i="2"/>
  <c r="O65" i="2"/>
  <c r="K65" i="2"/>
  <c r="F56" i="2"/>
  <c r="D62" i="2"/>
  <c r="M65" i="2"/>
  <c r="I56" i="2"/>
  <c r="D57" i="2"/>
  <c r="K61" i="2"/>
  <c r="F62" i="2"/>
  <c r="L66" i="2"/>
  <c r="J56" i="2"/>
  <c r="L61" i="2"/>
  <c r="G62" i="2"/>
  <c r="E70" i="2"/>
  <c r="L63" i="2"/>
  <c r="M63" i="2"/>
  <c r="O63" i="2"/>
  <c r="E57" i="2"/>
  <c r="F57" i="2"/>
  <c r="E58" i="2"/>
  <c r="N60" i="2"/>
  <c r="D63" i="2"/>
  <c r="K76" i="2"/>
  <c r="K57" i="2"/>
  <c r="G58" i="2"/>
  <c r="E63" i="2"/>
  <c r="K70" i="2"/>
  <c r="L75" i="2"/>
  <c r="J58" i="2"/>
  <c r="F74" i="2"/>
  <c r="K58" i="2"/>
  <c r="I63" i="2"/>
  <c r="G74" i="2"/>
  <c r="L58" i="2"/>
  <c r="J63" i="2"/>
  <c r="J64" i="2"/>
  <c r="G65" i="2"/>
  <c r="I68" i="2"/>
  <c r="D69" i="2"/>
  <c r="M73" i="2"/>
  <c r="H74" i="2"/>
  <c r="E75" i="2"/>
  <c r="B93" i="2"/>
  <c r="I93" i="2" s="1"/>
  <c r="L57" i="2"/>
  <c r="F63" i="2"/>
  <c r="O57" i="2"/>
  <c r="G63" i="2"/>
  <c r="B89" i="2"/>
  <c r="M59" i="2"/>
  <c r="H63" i="2"/>
  <c r="K73" i="2"/>
  <c r="L73" i="2"/>
  <c r="K63" i="2"/>
  <c r="K64" i="2"/>
  <c r="H65" i="2"/>
  <c r="M67" i="2"/>
  <c r="J68" i="2"/>
  <c r="E69" i="2"/>
  <c r="D70" i="2"/>
  <c r="J74" i="2"/>
  <c r="F75" i="2"/>
  <c r="N64" i="2"/>
  <c r="N59" i="2"/>
  <c r="G60" i="2"/>
  <c r="F67" i="2"/>
  <c r="N71" i="2"/>
  <c r="G72" i="2"/>
  <c r="O76" i="2"/>
  <c r="O59" i="2"/>
  <c r="H60" i="2"/>
  <c r="D64" i="2"/>
  <c r="N66" i="2"/>
  <c r="G67" i="2"/>
  <c r="O71" i="2"/>
  <c r="H72" i="2"/>
  <c r="D76" i="2"/>
  <c r="H76" i="2"/>
  <c r="B88" i="2"/>
  <c r="N56" i="2"/>
  <c r="G57" i="2"/>
  <c r="D56" i="2"/>
  <c r="I57" i="2"/>
  <c r="N58" i="2"/>
  <c r="G59" i="2"/>
  <c r="L60" i="2"/>
  <c r="E61" i="2"/>
  <c r="H64" i="2"/>
  <c r="F66" i="2"/>
  <c r="K67" i="2"/>
  <c r="I69" i="2"/>
  <c r="N70" i="2"/>
  <c r="G71" i="2"/>
  <c r="L72" i="2"/>
  <c r="E73" i="2"/>
  <c r="E56" i="2"/>
  <c r="J57" i="2"/>
  <c r="O58" i="2"/>
  <c r="H59" i="2"/>
  <c r="M60" i="2"/>
  <c r="F61" i="2"/>
  <c r="K62" i="2"/>
  <c r="I64" i="2"/>
  <c r="N65" i="2"/>
  <c r="G66" i="2"/>
  <c r="L67" i="2"/>
  <c r="E68" i="2"/>
  <c r="J69" i="2"/>
  <c r="O70" i="2"/>
  <c r="H71" i="2"/>
  <c r="M72" i="2"/>
  <c r="F73" i="2"/>
  <c r="K74" i="2"/>
  <c r="D75" i="2"/>
  <c r="I76" i="2"/>
  <c r="B90" i="2"/>
  <c r="N67" i="2"/>
  <c r="O72" i="2"/>
  <c r="O60" i="2"/>
  <c r="H56" i="2"/>
  <c r="M57" i="2"/>
  <c r="F58" i="2"/>
  <c r="K59" i="2"/>
  <c r="D60" i="2"/>
  <c r="I61" i="2"/>
  <c r="N62" i="2"/>
  <c r="L64" i="2"/>
  <c r="J66" i="2"/>
  <c r="O67" i="2"/>
  <c r="H68" i="2"/>
  <c r="M69" i="2"/>
  <c r="F70" i="2"/>
  <c r="K71" i="2"/>
  <c r="D72" i="2"/>
  <c r="I73" i="2"/>
  <c r="N74" i="2"/>
  <c r="L76" i="2"/>
  <c r="N72" i="2"/>
  <c r="N57" i="2"/>
  <c r="L59" i="2"/>
  <c r="E60" i="2"/>
  <c r="J61" i="2"/>
  <c r="M64" i="2"/>
  <c r="K66" i="2"/>
  <c r="D67" i="2"/>
  <c r="N69" i="2"/>
  <c r="L71" i="2"/>
  <c r="E72" i="2"/>
  <c r="J73" i="2"/>
  <c r="M76" i="2"/>
  <c r="N76" i="2"/>
  <c r="E67" i="2"/>
  <c r="F72" i="2"/>
  <c r="O64" i="2"/>
  <c r="F60" i="2"/>
  <c r="D59" i="2"/>
  <c r="I60" i="2"/>
  <c r="N61" i="2"/>
  <c r="E64" i="2"/>
  <c r="O66" i="2"/>
  <c r="H67" i="2"/>
  <c r="D71" i="2"/>
  <c r="I72" i="2"/>
  <c r="N73" i="2"/>
  <c r="E76" i="2"/>
  <c r="E59" i="2"/>
  <c r="J60" i="2"/>
  <c r="O61" i="2"/>
  <c r="F64" i="2"/>
  <c r="D66" i="2"/>
  <c r="I67" i="2"/>
  <c r="N68" i="2"/>
  <c r="G69" i="2"/>
  <c r="L70" i="2"/>
  <c r="E71" i="2"/>
  <c r="J72" i="2"/>
  <c r="O73" i="2"/>
  <c r="F76" i="2"/>
  <c r="K93" i="2" l="1"/>
  <c r="L93" i="2"/>
  <c r="M93" i="2"/>
  <c r="E93" i="2"/>
  <c r="J93" i="2"/>
  <c r="O90" i="2"/>
  <c r="J90" i="2"/>
  <c r="L89" i="2"/>
  <c r="O93" i="2"/>
  <c r="K88" i="2"/>
  <c r="N93" i="2"/>
  <c r="D93" i="2"/>
  <c r="J88" i="2"/>
  <c r="B95" i="2"/>
  <c r="B96" i="2" s="1"/>
  <c r="K90" i="2"/>
  <c r="G93" i="2"/>
  <c r="L90" i="2"/>
  <c r="J89" i="2"/>
  <c r="F93" i="2"/>
  <c r="F90" i="2"/>
  <c r="H93" i="2"/>
  <c r="I90" i="2"/>
  <c r="O89" i="2"/>
  <c r="G88" i="2"/>
  <c r="F88" i="2"/>
  <c r="I88" i="2"/>
  <c r="M88" i="2"/>
  <c r="D88" i="2"/>
  <c r="D89" i="2"/>
  <c r="D90" i="2"/>
  <c r="O88" i="2"/>
  <c r="G89" i="2"/>
  <c r="N89" i="2"/>
  <c r="N90" i="2"/>
  <c r="N88" i="2"/>
  <c r="M90" i="2"/>
  <c r="I89" i="2"/>
  <c r="L88" i="2"/>
  <c r="F89" i="2"/>
  <c r="G90" i="2"/>
  <c r="M89" i="2"/>
  <c r="H89" i="2"/>
  <c r="H90" i="2"/>
  <c r="H88" i="2"/>
  <c r="K89" i="2"/>
  <c r="E89" i="2"/>
  <c r="E90" i="2"/>
  <c r="E88" i="2"/>
  <c r="E95" i="2" s="1"/>
  <c r="E96" i="2" s="1"/>
  <c r="E98" i="2" s="1"/>
  <c r="D95" i="2" l="1"/>
  <c r="D96" i="2" s="1"/>
  <c r="D98" i="2" s="1"/>
  <c r="I95" i="2"/>
  <c r="I96" i="2" s="1"/>
  <c r="I98" i="2" s="1"/>
  <c r="L95" i="2"/>
  <c r="L96" i="2" s="1"/>
  <c r="L98" i="2" s="1"/>
  <c r="J95" i="2"/>
  <c r="J96" i="2" s="1"/>
  <c r="J98" i="2" s="1"/>
  <c r="M95" i="2"/>
  <c r="M96" i="2" s="1"/>
  <c r="M98" i="2" s="1"/>
  <c r="K95" i="2"/>
  <c r="K96" i="2" s="1"/>
  <c r="K98" i="2" s="1"/>
  <c r="O95" i="2"/>
  <c r="O96" i="2" s="1"/>
  <c r="O98" i="2" s="1"/>
  <c r="H95" i="2"/>
  <c r="H96" i="2" s="1"/>
  <c r="H98" i="2" s="1"/>
  <c r="G95" i="2"/>
  <c r="G96" i="2" s="1"/>
  <c r="G98" i="2" s="1"/>
  <c r="F95" i="2"/>
  <c r="F96" i="2" s="1"/>
  <c r="F98" i="2" s="1"/>
  <c r="N95" i="2"/>
  <c r="N96" i="2" s="1"/>
  <c r="N9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6" authorId="0" shapeId="0" xr:uid="{00000000-0006-0000-0000-000001000000}">
      <text>
        <r>
          <rPr>
            <sz val="10"/>
            <color rgb="FF000000"/>
            <rFont val="Arial"/>
            <family val="2"/>
          </rPr>
          <t xml:space="preserve">XIAO ESP32C3 x2
</t>
        </r>
        <r>
          <rPr>
            <sz val="10"/>
            <color rgb="FF000000"/>
            <rFont val="Arial"/>
            <family val="2"/>
          </rPr>
          <t xml:space="preserve">Active with BLE: 24mA per chip @ 3.3V = 79.2mW
</t>
        </r>
        <r>
          <rPr>
            <sz val="10"/>
            <color rgb="FF000000"/>
            <rFont val="Arial"/>
            <family val="2"/>
          </rPr>
          <t xml:space="preserve">2 chips </t>
        </r>
        <r>
          <rPr>
            <sz val="10"/>
            <color rgb="FF000000"/>
            <rFont val="Arial"/>
            <family val="2"/>
          </rPr>
          <t>×</t>
        </r>
        <r>
          <rPr>
            <sz val="10"/>
            <color rgb="FF000000"/>
            <rFont val="Arial"/>
            <family val="2"/>
          </rPr>
          <t xml:space="preserve"> 60mW (average, not both full power) = 120mW
</t>
        </r>
        <r>
          <rPr>
            <sz val="10"/>
            <color rgb="FF000000"/>
            <rFont val="Arial"/>
            <family val="2"/>
          </rPr>
          <t xml:space="preserve">Source: Seeed XIAO ESP32C3 Power Consumption Tests
</t>
        </r>
        <r>
          <rPr>
            <sz val="10"/>
            <color rgb="FF000000"/>
            <rFont val="Arial"/>
            <family val="2"/>
          </rPr>
          <t>https://files.seeedstudio.com/wiki/XIAO_WiFi/Resources/Seeed_Studio_XIAO_ESP32C3_Power_Consumption_Tests.pdf</t>
        </r>
      </text>
    </comment>
    <comment ref="B7" authorId="0" shapeId="0" xr:uid="{00000000-0006-0000-0000-000002000000}">
      <text>
        <r>
          <rPr>
            <sz val="10"/>
            <color rgb="FF000000"/>
            <rFont val="Arial"/>
            <family val="2"/>
          </rPr>
          <t xml:space="preserve">XIAO ESP32C3 x2
</t>
        </r>
        <r>
          <rPr>
            <sz val="10"/>
            <color rgb="FF000000"/>
            <rFont val="Arial"/>
            <family val="2"/>
          </rPr>
          <t xml:space="preserve">BLE connected, modem sleep: 9mA @ 3.3V = 29.7mW per chip
</t>
        </r>
        <r>
          <rPr>
            <sz val="10"/>
            <color rgb="FF000000"/>
            <rFont val="Arial"/>
            <family val="2"/>
          </rPr>
          <t xml:space="preserve">2 chips </t>
        </r>
        <r>
          <rPr>
            <sz val="10"/>
            <color rgb="FF000000"/>
            <rFont val="Arial"/>
            <family val="2"/>
          </rPr>
          <t>×</t>
        </r>
        <r>
          <rPr>
            <sz val="10"/>
            <color rgb="FF000000"/>
            <rFont val="Arial"/>
            <family val="2"/>
          </rPr>
          <t xml:space="preserve"> 30mW = 60mW
</t>
        </r>
        <r>
          <rPr>
            <sz val="10"/>
            <color rgb="FF000000"/>
            <rFont val="Arial"/>
            <family val="2"/>
          </rPr>
          <t xml:space="preserve">Source: Seeed XIAO ESP32C3 Power Consumption Tests
</t>
        </r>
        <r>
          <rPr>
            <sz val="10"/>
            <color rgb="FF000000"/>
            <rFont val="Arial"/>
            <family val="2"/>
          </rPr>
          <t>https://files.seeedstudio.com/wiki/XIAO_WiFi/Resources/Seeed_Studio_XIAO_ESP32C3_Power_Consumption_Tests.pdf</t>
        </r>
      </text>
    </comment>
    <comment ref="B8" authorId="0" shapeId="0" xr:uid="{00000000-0006-0000-0000-000003000000}">
      <text>
        <r>
          <rPr>
            <sz val="10"/>
            <color rgb="FF000000"/>
            <rFont val="Arial"/>
            <family val="2"/>
          </rPr>
          <t xml:space="preserve">XIAO ESP32C3 x2
</t>
        </r>
        <r>
          <rPr>
            <sz val="10"/>
            <color rgb="FF000000"/>
            <rFont val="Arial"/>
            <family val="2"/>
          </rPr>
          <t xml:space="preserve">Deep sleep: 43μA @ 3.3V = 0.142mW per chip
</t>
        </r>
        <r>
          <rPr>
            <sz val="10"/>
            <color rgb="FF000000"/>
            <rFont val="Arial"/>
            <family val="2"/>
          </rPr>
          <t xml:space="preserve">2 chips </t>
        </r>
        <r>
          <rPr>
            <sz val="10"/>
            <color rgb="FF000000"/>
            <rFont val="Arial"/>
            <family val="2"/>
          </rPr>
          <t>×</t>
        </r>
        <r>
          <rPr>
            <sz val="10"/>
            <color rgb="FF000000"/>
            <rFont val="Arial"/>
            <family val="2"/>
          </rPr>
          <t xml:space="preserve"> 0.142mW = 0.28mW
</t>
        </r>
        <r>
          <rPr>
            <sz val="10"/>
            <color rgb="FF000000"/>
            <rFont val="Arial"/>
            <family val="2"/>
          </rPr>
          <t xml:space="preserve">Source: Seeed XIAO ESP32C3 specifications
</t>
        </r>
        <r>
          <rPr>
            <sz val="10"/>
            <color rgb="FF000000"/>
            <rFont val="Arial"/>
            <family val="2"/>
          </rPr>
          <t>https://wiki.seeedstudio.com/xiao_esp32c6_getting_started/</t>
        </r>
      </text>
    </comment>
    <comment ref="B11" authorId="0" shapeId="0" xr:uid="{00000000-0006-0000-0000-000004000000}">
      <text>
        <r>
          <rPr>
            <sz val="10"/>
            <color rgb="FF000000"/>
            <rFont val="Arial"/>
            <charset val="1"/>
          </rPr>
          <t>WS2812B-2020 RGB LED x1
Low brightness (typical use): ~2mA @ 3.3V = 6.6mW
High brightness (important moments): ~5mA @ 3.3V = 16.5mW
Using low brightness value for average consumption
Source: WS2812-2020 specifications - low power version
https://www.smart-prototyping.com/WS2812-2020-Addressable-Fullcolor-RGB-LED</t>
        </r>
      </text>
    </comment>
    <comment ref="B15" authorId="0" shapeId="0" xr:uid="{00000000-0006-0000-0000-000005000000}">
      <text>
        <r>
          <rPr>
            <sz val="10"/>
            <color rgb="FF000000"/>
            <rFont val="Arial"/>
            <charset val="1"/>
          </rPr>
          <t>TSL25911FN Light Sensor: 300μA @ 3.3V = 0.99mW
From datasheet page 5: Active 275-325μA typical
https://cdn-shop.adafruit.com/datasheets/TSL25911_Datasheet_EN_v1.pdf
VL53L0X Distance Sensor: ~20mA @ 2.8V = 56mW
From various sources: 20-40mA during ranging, using 20mA
Total: 0.99 + 56 = 57mW</t>
        </r>
      </text>
    </comment>
    <comment ref="B16" authorId="0" shapeId="0" xr:uid="{00000000-0006-0000-0000-000006000000}">
      <text>
        <r>
          <rPr>
            <sz val="10"/>
            <color rgb="FF000000"/>
            <rFont val="Arial"/>
            <charset val="1"/>
          </rPr>
          <t>TSL25911FN Sleep: 2.3-4μA @ 3.3V = ~0.01mW
VL53L0X Standby: ~5μA @ 2.8V = ~0.014mW
Total: ~0.024mW ≈ 0.03mW
Sources: Component datasheets</t>
        </r>
      </text>
    </comment>
    <comment ref="B17" authorId="0" shapeId="0" xr:uid="{00000000-0006-0000-0000-000007000000}">
      <text>
        <r>
          <rPr>
            <sz val="10"/>
            <color rgb="FF000000"/>
            <rFont val="Arial"/>
            <charset val="1"/>
          </rPr>
          <t>Sensors powered off via MOSFET switch
Negligible leakage current</t>
        </r>
      </text>
    </comment>
    <comment ref="B20" authorId="0" shapeId="0" xr:uid="{00000000-0006-0000-0000-000008000000}">
      <text>
        <r>
          <rPr>
            <sz val="10"/>
            <color rgb="FF000000"/>
            <rFont val="Arial"/>
            <charset val="1"/>
          </rPr>
          <t>No display in this project
Screen Usage Load Meter uses stepper motor for display</t>
        </r>
      </text>
    </comment>
    <comment ref="B21" authorId="0" shapeId="0" xr:uid="{00000000-0006-0000-0000-000009000000}">
      <text>
        <r>
          <rPr>
            <sz val="10"/>
            <color rgb="FF000000"/>
            <rFont val="Arial"/>
            <charset val="1"/>
          </rPr>
          <t>No display</t>
        </r>
      </text>
    </comment>
    <comment ref="B24" authorId="0" shapeId="0" xr:uid="{00000000-0006-0000-0000-00000A000000}">
      <text>
        <r>
          <rPr>
            <sz val="10"/>
            <color rgb="FF000000"/>
            <rFont val="Arial"/>
            <charset val="1"/>
          </rPr>
          <t>Stepper Motor Section (using Radio fields)
Motor is used for physical display of usage time</t>
        </r>
      </text>
    </comment>
    <comment ref="B25" authorId="0" shapeId="0" xr:uid="{00000000-0006-0000-0000-00000B000000}">
      <text>
        <r>
          <rPr>
            <sz val="10"/>
            <color rgb="FF000000"/>
            <rFont val="Arial"/>
            <charset val="1"/>
          </rPr>
          <t>28BYJ-48 Stepper Motor + ULN2003A Driver
Holding current (maintaining position): ~70mA @ 5V = 350mW
Motor needs current to hold position and resist external forces
Source: Multiple tutorials mention holding current requirement
https://lastminuteengineers.com/28byj48-stepper-motor-arduino-tutorial/</t>
        </r>
      </text>
    </comment>
    <comment ref="B26" authorId="0" shapeId="0" xr:uid="{00000000-0006-0000-0000-00000C000000}">
      <text>
        <r>
          <rPr>
            <sz val="10"/>
            <color rgb="FF000000"/>
            <rFont val="Arial"/>
            <charset val="1"/>
          </rPr>
          <t>28BYJ-48 Stepper Motor Running
Active stepping: 240mA @ 5V = 1200mW
This is peak consumption when motor is actually rotating
Source: Component specifications
https://lastminuteengineers.com/28byj48-stepper-motor-arduino-tutorial/</t>
        </r>
      </text>
    </comment>
    <comment ref="B27" authorId="0" shapeId="0" xr:uid="{00000000-0006-0000-0000-00000D000000}">
      <text>
        <r>
          <rPr>
            <sz val="10"/>
            <color rgb="FF000000"/>
            <rFont val="Arial"/>
            <charset val="1"/>
          </rPr>
          <t>Motor completely off (de-energized)
No power consumption when not holding position</t>
        </r>
      </text>
    </comment>
    <comment ref="B31" authorId="0" shapeId="0" xr:uid="{00000000-0006-0000-0000-00000E000000}">
      <text>
        <r>
          <rPr>
            <sz val="10"/>
            <color rgb="FF000000"/>
            <rFont val="Arial"/>
            <charset val="1"/>
          </rPr>
          <t>Starting with 2000mAh 3.7V LiPo battery
Will adjust based on calculated runtime
Target: 1 day of use (charge daily)</t>
        </r>
      </text>
    </comment>
    <comment ref="B32" authorId="0" shapeId="0" xr:uid="{00000000-0006-0000-0000-00000F000000}">
      <text>
        <r>
          <rPr>
            <sz val="10"/>
            <color rgb="FF000000"/>
            <rFont val="Arial"/>
            <charset val="1"/>
          </rPr>
          <t>Standard LiPo cell voltage: 3.7V nominal
(4.2V max, 3.0V cutoff)</t>
        </r>
      </text>
    </comment>
    <comment ref="B33" authorId="0" shapeId="0" xr:uid="{00000000-0006-0000-0000-000010000000}">
      <text>
        <r>
          <rPr>
            <sz val="10"/>
            <color rgb="FF000000"/>
            <rFont val="Arial"/>
            <charset val="1"/>
          </rPr>
          <t>Using LDO (Linear Regulator) for 3.3V conversion
Efficiency: ~85% (some power lost as heat)
Could use buck converter (90-95%) for better efficiency</t>
        </r>
      </text>
    </comment>
  </commentList>
</comments>
</file>

<file path=xl/sharedStrings.xml><?xml version="1.0" encoding="utf-8"?>
<sst xmlns="http://schemas.openxmlformats.org/spreadsheetml/2006/main" count="75" uniqueCount="55">
  <si>
    <t>System Parameters (defined by hardware)</t>
  </si>
  <si>
    <t>Profiles (usage of each component mode - defined by software and usage)</t>
  </si>
  <si>
    <t>form the datasheets</t>
  </si>
  <si>
    <t>"off"</t>
  </si>
  <si>
    <t>"sensing"</t>
  </si>
  <si>
    <t>"interactive"</t>
  </si>
  <si>
    <t>Processor</t>
  </si>
  <si>
    <t>Active</t>
  </si>
  <si>
    <t>mW</t>
  </si>
  <si>
    <t>Idle</t>
  </si>
  <si>
    <t>Sleep</t>
  </si>
  <si>
    <t>LED</t>
  </si>
  <si>
    <t>On</t>
  </si>
  <si>
    <t>Sensor</t>
  </si>
  <si>
    <t>Off</t>
  </si>
  <si>
    <t>Display</t>
  </si>
  <si>
    <t>Off (leakage)</t>
  </si>
  <si>
    <t>Radio</t>
  </si>
  <si>
    <t>Data Rate</t>
  </si>
  <si>
    <t>bps</t>
  </si>
  <si>
    <t>Total power in profile (mw)</t>
  </si>
  <si>
    <t xml:space="preserve">Maximum Time </t>
  </si>
  <si>
    <t>Standby Power</t>
  </si>
  <si>
    <t>hours</t>
  </si>
  <si>
    <t>TX Power</t>
  </si>
  <si>
    <t>RX Power</t>
  </si>
  <si>
    <t>hours/day typical usage</t>
  </si>
  <si>
    <t>Effective Battery Capacity</t>
  </si>
  <si>
    <t>Battery</t>
  </si>
  <si>
    <t>mW*h</t>
  </si>
  <si>
    <t>Capacity</t>
  </si>
  <si>
    <t>mAh</t>
  </si>
  <si>
    <t>Nominal Voltage</t>
  </si>
  <si>
    <t>V</t>
  </si>
  <si>
    <t>Days of Use</t>
  </si>
  <si>
    <t>days</t>
  </si>
  <si>
    <t>Regulator Efficiency</t>
  </si>
  <si>
    <t>Hours of Use</t>
  </si>
  <si>
    <t xml:space="preserve">REFLECTIONS : WHAT DID YOU LEARN FROM ANALYZING YOUR POWER.  TALK ABOUT SOME POTENTIAL TRADEOFFS. </t>
  </si>
  <si>
    <t>Linked Data from First Page DO NOT EDIT</t>
  </si>
  <si>
    <t>% change</t>
  </si>
  <si>
    <t>Parameter Name</t>
  </si>
  <si>
    <t>ProcessorActive</t>
  </si>
  <si>
    <t>ProcessorIdle</t>
  </si>
  <si>
    <t>ProcessorOff</t>
  </si>
  <si>
    <t>LEDOn</t>
  </si>
  <si>
    <t>SensorOn</t>
  </si>
  <si>
    <t>SensorIdle</t>
  </si>
  <si>
    <t>SensorOff</t>
  </si>
  <si>
    <t>DisplayOn</t>
  </si>
  <si>
    <t>DisplayOff</t>
  </si>
  <si>
    <t>RadioStandby</t>
  </si>
  <si>
    <t>RadioTX</t>
  </si>
  <si>
    <t>RadioRX</t>
  </si>
  <si>
    <t xml:space="preserve">REFLECTIONS: 
1. How did I determine the "days of use" metric?
My Screen Usage Load Meter is a desktop device that tracks computer usage time throughout the day. I determined that a 1-day runtime (requiring daily charging) is the optimal target because: (a) The device follows my computer's usage pattern - when I use my computer (typically 8 hours per day), the device actively monitors usage; when the computer is off, the device enters deep sleep. (b) Daily charging aligns naturally with my routine - I can charge it overnight just like my phone, ensuring it's always ready for the next day. (c) The calculated 2-day runtime with a 2000mAh battery provides a comfortable safety margin. Even if I forget to charge one night, the device will still function the next day. This margin also accounts for battery degradation over time and temperature effects that can reduce capacity by 10-20% in real-world conditions.
2. What is the optimum battery size?
The optimum battery is 2000mAh LiPo (3.7V, ~$13, 35g). Here's why: A 1000mAh battery would provide only 1 day of runtime with no margin for error, making it risky. The 2000mAh battery provides 2 days of runtime, giving me flexibility and safety buffer. A 3000mAh battery would provide 3 days (unnecessary for a desk device) and adds extra weight and cost ($18, 50g). The 2000mAh hits the sweet spot - reliable 1+ day operation, affordable, and compact enough for desktop use. The stepper motor's holding current (350mW) dominates power consumption, but this is necessary for the device's function as a physical display. If I used a larger battery to avoid daily charging, I'd still need to check the device daily anyway to see the usage meter, so daily charging doesn't add inconvenience.
3. What hardware/software/cost/effort tradeoffs could improve the user experience?
Highest ROI: Reduce motor holding time - currently the motor holds position continuously (350mW for 7 hours = 2450mW·h daily). By only energizing the motor when actively displaying or when user approaches (detected by distance sensor), I could reduce this by 50-70%, extending runtime from 2 to 3-4 days. Implementation: simple software change (1-2 hours). Cost: $0. Medium ROI: Reduce sensor polling frequency from 1 minute to 2 minutes. This halves sensor active time, saving ~28mW average (about 10% total consumption). Still provides adequate resolution for usage tracking. Implementation: change one constant in code (5 minutes). Cost: $0. Low ROI: Add solar panel ($15, 3 hours effort). A small 5V 100mA panel could provide ~500mW during daylight, extending runtime significantly for window-mounted installations. However, my device sits on desk without direct sunlight, making this impractical. Not worth the added complexity. Smart choice: Implement both motor optimization and sensor frequency reduction. Combined, these save ~40% power consumption, extending the 2000mAh battery runtime from 2 to 3.3 days with minimal effort and zero cost.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</si>
</sst>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6" x14ac:knownFonts="1">
    <font>
      <sz val="10"/>
      <color rgb="FF000000"/>
      <name val="Arial"/>
      <charset val="1"/>
    </font>
    <font>
      <sz val="10"/>
      <color theme="1"/>
      <name val="Arial"/>
      <family val="2"/>
    </font>
    <font>
      <b/>
      <sz val="10"/>
      <color theme="1"/>
      <name val="Arial"/>
      <family val="2"/>
    </font>
    <font>
      <sz val="11"/>
      <color theme="1"/>
      <name val="Arial"/>
      <family val="2"/>
    </font>
    <font>
      <sz val="10"/>
      <color rgb="FF000000"/>
      <name val="Arial"/>
      <family val="2"/>
    </font>
    <font>
      <sz val="9"/>
      <name val="FangSong"/>
      <family val="3"/>
      <charset val="134"/>
    </font>
  </fonts>
  <fills count="5">
    <fill>
      <patternFill patternType="none"/>
    </fill>
    <fill>
      <patternFill patternType="gray125"/>
    </fill>
    <fill>
      <patternFill patternType="solid">
        <fgColor rgb="FFFFF2CC"/>
        <bgColor rgb="FFFFFFFF"/>
      </patternFill>
    </fill>
    <fill>
      <patternFill patternType="solid">
        <fgColor rgb="FFD9EAD3"/>
        <bgColor rgb="FFD9D9D9"/>
      </patternFill>
    </fill>
    <fill>
      <patternFill patternType="solid">
        <fgColor rgb="FFB6D7A8"/>
        <bgColor rgb="FFD9D9D9"/>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28">
    <xf numFmtId="0" fontId="0" fillId="0" borderId="0" xfId="0"/>
    <xf numFmtId="0" fontId="1" fillId="0" borderId="1" xfId="0" applyFont="1" applyBorder="1"/>
    <xf numFmtId="0" fontId="1" fillId="0" borderId="2" xfId="0" applyFont="1" applyBorder="1"/>
    <xf numFmtId="0" fontId="1" fillId="0" borderId="3" xfId="0" applyFont="1" applyBorder="1"/>
    <xf numFmtId="0" fontId="2" fillId="0" borderId="4" xfId="0" applyFont="1" applyBorder="1"/>
    <xf numFmtId="0" fontId="2" fillId="0" borderId="0" xfId="0" applyFont="1"/>
    <xf numFmtId="0" fontId="1" fillId="0" borderId="5" xfId="0" applyFont="1" applyBorder="1"/>
    <xf numFmtId="0" fontId="1" fillId="0" borderId="4" xfId="0" applyFont="1" applyBorder="1"/>
    <xf numFmtId="0" fontId="3" fillId="0" borderId="0" xfId="0" applyFont="1"/>
    <xf numFmtId="0" fontId="1" fillId="0" borderId="0" xfId="0" applyFont="1"/>
    <xf numFmtId="1" fontId="3" fillId="2" borderId="0" xfId="0" applyNumberFormat="1" applyFont="1" applyFill="1"/>
    <xf numFmtId="9" fontId="1" fillId="2" borderId="0" xfId="0" applyNumberFormat="1" applyFont="1" applyFill="1"/>
    <xf numFmtId="9" fontId="3" fillId="2" borderId="0" xfId="0" applyNumberFormat="1" applyFont="1" applyFill="1"/>
    <xf numFmtId="1" fontId="1" fillId="2" borderId="0" xfId="0" applyNumberFormat="1" applyFont="1" applyFill="1"/>
    <xf numFmtId="1" fontId="1" fillId="0" borderId="0" xfId="0" applyNumberFormat="1" applyFont="1"/>
    <xf numFmtId="0" fontId="1" fillId="2" borderId="0" xfId="0" applyFont="1" applyFill="1"/>
    <xf numFmtId="0" fontId="1" fillId="3" borderId="0" xfId="0" applyFont="1" applyFill="1"/>
    <xf numFmtId="176" fontId="1" fillId="3" borderId="0" xfId="0" applyNumberFormat="1" applyFont="1" applyFill="1"/>
    <xf numFmtId="0" fontId="2" fillId="4" borderId="0" xfId="0" applyFont="1" applyFill="1"/>
    <xf numFmtId="2" fontId="2" fillId="4" borderId="0" xfId="0" applyNumberFormat="1" applyFont="1" applyFill="1"/>
    <xf numFmtId="0" fontId="1" fillId="0" borderId="6" xfId="0" applyFont="1" applyBorder="1"/>
    <xf numFmtId="0" fontId="1" fillId="0" borderId="7" xfId="0" applyFont="1" applyBorder="1"/>
    <xf numFmtId="0" fontId="1" fillId="0" borderId="8" xfId="0" applyFont="1" applyBorder="1"/>
    <xf numFmtId="9" fontId="1" fillId="0" borderId="0" xfId="0" applyNumberFormat="1" applyFont="1"/>
    <xf numFmtId="10" fontId="1" fillId="0" borderId="0" xfId="0" applyNumberFormat="1" applyFont="1"/>
    <xf numFmtId="0" fontId="0" fillId="0" borderId="0" xfId="0" applyAlignment="1">
      <alignment wrapText="1"/>
    </xf>
    <xf numFmtId="0" fontId="4" fillId="0" borderId="0" xfId="0" applyFont="1" applyAlignment="1">
      <alignment wrapText="1" shrinkToFit="1"/>
    </xf>
    <xf numFmtId="0" fontId="4" fillId="0" borderId="0" xfId="0" applyFont="1" applyAlignment="1">
      <alignment horizontal="left" wrapText="1" shrinkToFit="1"/>
    </xf>
  </cellXfs>
  <cellStyles count="1">
    <cellStyle name="常规"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757575"/>
      <rgbColor rgb="FF8FACF6"/>
      <rgbColor rgb="FF993366"/>
      <rgbColor rgb="FFFFF2CC"/>
      <rgbColor rgb="FFCCFFFF"/>
      <rgbColor rgb="FF660066"/>
      <rgbColor rgb="FFEF908C"/>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0CED5"/>
      <rgbColor rgb="FFFF9F87"/>
      <rgbColor rgb="FFCC99FF"/>
      <rgbColor rgb="FFFBCE87"/>
      <rgbColor rgb="FF3A76D9"/>
      <rgbColor rgb="FF3EA8B0"/>
      <rgbColor rgb="FF8CC195"/>
      <rgbColor rgb="FFFFCC00"/>
      <rgbColor rgb="FFDFA703"/>
      <rgbColor rgb="FFE36100"/>
      <rgbColor rgb="FF4285F4"/>
      <rgbColor rgb="FF8B8B8B"/>
      <rgbColor rgb="FF003366"/>
      <rgbColor rgb="FF2E9549"/>
      <rgbColor rgb="FF003300"/>
      <rgbColor rgb="FF333300"/>
      <rgbColor rgb="FFD03B2F"/>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rot="0"/>
          <a:lstStyle/>
          <a:p>
            <a:pPr>
              <a:defRPr lang="en-US" sz="1800" b="0" strike="noStrike" spc="-1">
                <a:solidFill>
                  <a:srgbClr val="757575"/>
                </a:solidFill>
                <a:latin typeface="Arial"/>
                <a:ea typeface="Arial"/>
              </a:defRPr>
            </a:pPr>
            <a:r>
              <a:rPr lang="en-US" sz="1800" b="0" strike="noStrike" spc="-1">
                <a:solidFill>
                  <a:srgbClr val="757575"/>
                </a:solidFill>
                <a:latin typeface="Arial"/>
                <a:ea typeface="Arial"/>
              </a:rPr>
              <a:t>Sensitivity Analysis</a:t>
            </a:r>
          </a:p>
        </c:rich>
      </c:tx>
      <c:overlay val="0"/>
      <c:spPr>
        <a:noFill/>
        <a:ln w="0">
          <a:noFill/>
          <a:prstDash val="solid"/>
        </a:ln>
      </c:spPr>
    </c:title>
    <c:autoTitleDeleted val="0"/>
    <c:plotArea>
      <c:layout/>
      <c:barChart>
        <c:barDir val="col"/>
        <c:grouping val="clustered"/>
        <c:varyColors val="1"/>
        <c:ser>
          <c:idx val="0"/>
          <c:order val="0"/>
          <c:spPr>
            <a:solidFill>
              <a:srgbClr val="4285F4"/>
            </a:solidFill>
            <a:ln w="0">
              <a:noFill/>
              <a:prstDash val="solid"/>
            </a:ln>
          </c:spPr>
          <c:invertIfNegative val="0"/>
          <c:dPt>
            <c:idx val="0"/>
            <c:invertIfNegative val="1"/>
            <c:bubble3D val="0"/>
            <c:spPr>
              <a:solidFill>
                <a:srgbClr val="3A76D9"/>
              </a:solidFill>
              <a:ln w="0">
                <a:noFill/>
                <a:prstDash val="solid"/>
              </a:ln>
            </c:spPr>
            <c:extLst>
              <c:ext xmlns:c16="http://schemas.microsoft.com/office/drawing/2014/chart" uri="{C3380CC4-5D6E-409C-BE32-E72D297353CC}">
                <c16:uniqueId val="{00000001-046B-814C-AE99-1D2B6CE198AE}"/>
              </c:ext>
            </c:extLst>
          </c:dPt>
          <c:dPt>
            <c:idx val="1"/>
            <c:invertIfNegative val="1"/>
            <c:bubble3D val="0"/>
            <c:spPr>
              <a:solidFill>
                <a:srgbClr val="D03B2F"/>
              </a:solidFill>
              <a:ln w="0">
                <a:noFill/>
                <a:prstDash val="solid"/>
              </a:ln>
            </c:spPr>
            <c:extLst>
              <c:ext xmlns:c16="http://schemas.microsoft.com/office/drawing/2014/chart" uri="{C3380CC4-5D6E-409C-BE32-E72D297353CC}">
                <c16:uniqueId val="{00000003-046B-814C-AE99-1D2B6CE198AE}"/>
              </c:ext>
            </c:extLst>
          </c:dPt>
          <c:dPt>
            <c:idx val="2"/>
            <c:invertIfNegative val="1"/>
            <c:bubble3D val="0"/>
            <c:spPr>
              <a:solidFill>
                <a:srgbClr val="DFA703"/>
              </a:solidFill>
              <a:ln w="0">
                <a:noFill/>
                <a:prstDash val="solid"/>
              </a:ln>
            </c:spPr>
            <c:extLst>
              <c:ext xmlns:c16="http://schemas.microsoft.com/office/drawing/2014/chart" uri="{C3380CC4-5D6E-409C-BE32-E72D297353CC}">
                <c16:uniqueId val="{00000005-046B-814C-AE99-1D2B6CE198AE}"/>
              </c:ext>
            </c:extLst>
          </c:dPt>
          <c:dPt>
            <c:idx val="3"/>
            <c:invertIfNegative val="1"/>
            <c:bubble3D val="0"/>
            <c:spPr>
              <a:solidFill>
                <a:srgbClr val="2E9549"/>
              </a:solidFill>
              <a:ln w="0">
                <a:noFill/>
                <a:prstDash val="solid"/>
              </a:ln>
            </c:spPr>
            <c:extLst>
              <c:ext xmlns:c16="http://schemas.microsoft.com/office/drawing/2014/chart" uri="{C3380CC4-5D6E-409C-BE32-E72D297353CC}">
                <c16:uniqueId val="{00000007-046B-814C-AE99-1D2B6CE198AE}"/>
              </c:ext>
            </c:extLst>
          </c:dPt>
          <c:dPt>
            <c:idx val="4"/>
            <c:invertIfNegative val="1"/>
            <c:bubble3D val="0"/>
            <c:spPr>
              <a:solidFill>
                <a:srgbClr val="E36100"/>
              </a:solidFill>
              <a:ln w="0">
                <a:noFill/>
                <a:prstDash val="solid"/>
              </a:ln>
            </c:spPr>
            <c:extLst>
              <c:ext xmlns:c16="http://schemas.microsoft.com/office/drawing/2014/chart" uri="{C3380CC4-5D6E-409C-BE32-E72D297353CC}">
                <c16:uniqueId val="{00000009-046B-814C-AE99-1D2B6CE198AE}"/>
              </c:ext>
            </c:extLst>
          </c:dPt>
          <c:dPt>
            <c:idx val="5"/>
            <c:invertIfNegative val="1"/>
            <c:bubble3D val="0"/>
            <c:spPr>
              <a:solidFill>
                <a:srgbClr val="3EA8B0"/>
              </a:solidFill>
              <a:ln w="0">
                <a:noFill/>
                <a:prstDash val="solid"/>
              </a:ln>
            </c:spPr>
            <c:extLst>
              <c:ext xmlns:c16="http://schemas.microsoft.com/office/drawing/2014/chart" uri="{C3380CC4-5D6E-409C-BE32-E72D297353CC}">
                <c16:uniqueId val="{0000000B-046B-814C-AE99-1D2B6CE198AE}"/>
              </c:ext>
            </c:extLst>
          </c:dPt>
          <c:dPt>
            <c:idx val="6"/>
            <c:invertIfNegative val="1"/>
            <c:bubble3D val="0"/>
            <c:spPr>
              <a:solidFill>
                <a:srgbClr val="8FACF6"/>
              </a:solidFill>
              <a:ln w="0">
                <a:noFill/>
                <a:prstDash val="solid"/>
              </a:ln>
            </c:spPr>
            <c:extLst>
              <c:ext xmlns:c16="http://schemas.microsoft.com/office/drawing/2014/chart" uri="{C3380CC4-5D6E-409C-BE32-E72D297353CC}">
                <c16:uniqueId val="{0000000D-046B-814C-AE99-1D2B6CE198AE}"/>
              </c:ext>
            </c:extLst>
          </c:dPt>
          <c:dPt>
            <c:idx val="7"/>
            <c:invertIfNegative val="1"/>
            <c:bubble3D val="0"/>
            <c:spPr>
              <a:solidFill>
                <a:srgbClr val="EF908C"/>
              </a:solidFill>
              <a:ln w="0">
                <a:noFill/>
                <a:prstDash val="solid"/>
              </a:ln>
            </c:spPr>
            <c:extLst>
              <c:ext xmlns:c16="http://schemas.microsoft.com/office/drawing/2014/chart" uri="{C3380CC4-5D6E-409C-BE32-E72D297353CC}">
                <c16:uniqueId val="{0000000F-046B-814C-AE99-1D2B6CE198AE}"/>
              </c:ext>
            </c:extLst>
          </c:dPt>
          <c:dPt>
            <c:idx val="8"/>
            <c:invertIfNegative val="1"/>
            <c:bubble3D val="0"/>
            <c:spPr>
              <a:solidFill>
                <a:srgbClr val="FBCE87"/>
              </a:solidFill>
              <a:ln w="0">
                <a:noFill/>
                <a:prstDash val="solid"/>
              </a:ln>
            </c:spPr>
            <c:extLst>
              <c:ext xmlns:c16="http://schemas.microsoft.com/office/drawing/2014/chart" uri="{C3380CC4-5D6E-409C-BE32-E72D297353CC}">
                <c16:uniqueId val="{00000011-046B-814C-AE99-1D2B6CE198AE}"/>
              </c:ext>
            </c:extLst>
          </c:dPt>
          <c:dPt>
            <c:idx val="9"/>
            <c:invertIfNegative val="1"/>
            <c:bubble3D val="0"/>
            <c:spPr>
              <a:solidFill>
                <a:srgbClr val="8CC195"/>
              </a:solidFill>
              <a:ln w="0">
                <a:noFill/>
                <a:prstDash val="solid"/>
              </a:ln>
            </c:spPr>
            <c:extLst>
              <c:ext xmlns:c16="http://schemas.microsoft.com/office/drawing/2014/chart" uri="{C3380CC4-5D6E-409C-BE32-E72D297353CC}">
                <c16:uniqueId val="{00000013-046B-814C-AE99-1D2B6CE198AE}"/>
              </c:ext>
            </c:extLst>
          </c:dPt>
          <c:dPt>
            <c:idx val="10"/>
            <c:invertIfNegative val="1"/>
            <c:bubble3D val="0"/>
            <c:spPr>
              <a:solidFill>
                <a:srgbClr val="FF9F87"/>
              </a:solidFill>
              <a:ln w="0">
                <a:noFill/>
                <a:prstDash val="solid"/>
              </a:ln>
            </c:spPr>
            <c:extLst>
              <c:ext xmlns:c16="http://schemas.microsoft.com/office/drawing/2014/chart" uri="{C3380CC4-5D6E-409C-BE32-E72D297353CC}">
                <c16:uniqueId val="{00000015-046B-814C-AE99-1D2B6CE198AE}"/>
              </c:ext>
            </c:extLst>
          </c:dPt>
          <c:dPt>
            <c:idx val="11"/>
            <c:invertIfNegative val="1"/>
            <c:bubble3D val="0"/>
            <c:spPr>
              <a:solidFill>
                <a:srgbClr val="90CED5"/>
              </a:solidFill>
              <a:ln w="0">
                <a:noFill/>
                <a:prstDash val="solid"/>
              </a:ln>
            </c:spPr>
            <c:extLst>
              <c:ext xmlns:c16="http://schemas.microsoft.com/office/drawing/2014/chart" uri="{C3380CC4-5D6E-409C-BE32-E72D297353CC}">
                <c16:uniqueId val="{00000017-046B-814C-AE99-1D2B6CE198AE}"/>
              </c:ext>
            </c:extLst>
          </c:dPt>
          <c:dLbls>
            <c:dLbl>
              <c:idx val="0"/>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1-046B-814C-AE99-1D2B6CE198AE}"/>
                </c:ext>
              </c:extLst>
            </c:dLbl>
            <c:dLbl>
              <c:idx val="1"/>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3-046B-814C-AE99-1D2B6CE198AE}"/>
                </c:ext>
              </c:extLst>
            </c:dLbl>
            <c:dLbl>
              <c:idx val="2"/>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5-046B-814C-AE99-1D2B6CE198AE}"/>
                </c:ext>
              </c:extLst>
            </c:dLbl>
            <c:dLbl>
              <c:idx val="3"/>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7-046B-814C-AE99-1D2B6CE198AE}"/>
                </c:ext>
              </c:extLst>
            </c:dLbl>
            <c:dLbl>
              <c:idx val="4"/>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9-046B-814C-AE99-1D2B6CE198AE}"/>
                </c:ext>
              </c:extLst>
            </c:dLbl>
            <c:dLbl>
              <c:idx val="5"/>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B-046B-814C-AE99-1D2B6CE198AE}"/>
                </c:ext>
              </c:extLst>
            </c:dLbl>
            <c:dLbl>
              <c:idx val="6"/>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D-046B-814C-AE99-1D2B6CE198AE}"/>
                </c:ext>
              </c:extLst>
            </c:dLbl>
            <c:dLbl>
              <c:idx val="7"/>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F-046B-814C-AE99-1D2B6CE198AE}"/>
                </c:ext>
              </c:extLst>
            </c:dLbl>
            <c:dLbl>
              <c:idx val="8"/>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11-046B-814C-AE99-1D2B6CE198AE}"/>
                </c:ext>
              </c:extLst>
            </c:dLbl>
            <c:dLbl>
              <c:idx val="9"/>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13-046B-814C-AE99-1D2B6CE198AE}"/>
                </c:ext>
              </c:extLst>
            </c:dLbl>
            <c:dLbl>
              <c:idx val="10"/>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15-046B-814C-AE99-1D2B6CE198AE}"/>
                </c:ext>
              </c:extLst>
            </c:dLbl>
            <c:dLbl>
              <c:idx val="11"/>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17-046B-814C-AE99-1D2B6CE198AE}"/>
                </c:ext>
              </c:extLst>
            </c:dLbl>
            <c:spPr>
              <a:noFill/>
              <a:ln>
                <a:noFill/>
              </a:ln>
              <a:effectLst/>
            </c:spPr>
            <c:txPr>
              <a:bodyPr wrap="square"/>
              <a:lstStyle/>
              <a:p>
                <a:pPr>
                  <a:defRPr sz="1000" b="0" strike="noStrike" spc="-1">
                    <a:solidFill>
                      <a:srgbClr val="000000"/>
                    </a:solidFill>
                    <a:latin typeface="Arial"/>
                    <a:ea typeface="Arial"/>
                  </a:defRPr>
                </a:pPr>
                <a:endParaRPr lang="zh-CN"/>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2.6015270472913299E-2</c:v>
                </c:pt>
                <c:pt idx="1">
                  <c:v>3.6180748683056763E-4</c:v>
                </c:pt>
                <c:pt idx="2">
                  <c:v>0</c:v>
                </c:pt>
                <c:pt idx="3">
                  <c:v>0</c:v>
                </c:pt>
                <c:pt idx="4">
                  <c:v>5.1431530877499299E-5</c:v>
                </c:pt>
                <c:pt idx="5">
                  <c:v>0</c:v>
                </c:pt>
                <c:pt idx="6">
                  <c:v>0</c:v>
                </c:pt>
                <c:pt idx="7">
                  <c:v>0</c:v>
                </c:pt>
                <c:pt idx="8">
                  <c:v>0</c:v>
                </c:pt>
                <c:pt idx="9">
                  <c:v>7.1785116381620107E-2</c:v>
                </c:pt>
                <c:pt idx="10">
                  <c:v>0</c:v>
                </c:pt>
                <c:pt idx="11">
                  <c:v>0</c:v>
                </c:pt>
              </c:numCache>
            </c:numRef>
          </c:val>
          <c:extLst>
            <c:ext xmlns:c16="http://schemas.microsoft.com/office/drawing/2014/chart" uri="{C3380CC4-5D6E-409C-BE32-E72D297353CC}">
              <c16:uniqueId val="{00000018-046B-814C-AE99-1D2B6CE198AE}"/>
            </c:ext>
          </c:extLst>
        </c:ser>
        <c:dLbls>
          <c:showLegendKey val="0"/>
          <c:showVal val="0"/>
          <c:showCatName val="0"/>
          <c:showSerName val="0"/>
          <c:showPercent val="0"/>
          <c:showBubbleSize val="0"/>
        </c:dLbls>
        <c:gapWidth val="150"/>
        <c:axId val="39765932"/>
        <c:axId val="78678465"/>
      </c:barChart>
      <c:catAx>
        <c:axId val="39765932"/>
        <c:scaling>
          <c:orientation val="minMax"/>
        </c:scaling>
        <c:delete val="0"/>
        <c:axPos val="b"/>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Arial"/>
                <a:ea typeface="Arial"/>
              </a:defRPr>
            </a:pPr>
            <a:endParaRPr lang="zh-CN"/>
          </a:p>
        </c:txPr>
        <c:crossAx val="78678465"/>
        <c:crosses val="autoZero"/>
        <c:auto val="1"/>
        <c:lblAlgn val="ctr"/>
        <c:lblOffset val="100"/>
        <c:noMultiLvlLbl val="0"/>
      </c:catAx>
      <c:valAx>
        <c:axId val="78678465"/>
        <c:scaling>
          <c:orientation val="minMax"/>
        </c:scaling>
        <c:delete val="0"/>
        <c:axPos val="l"/>
        <c:numFmt formatCode="0.00%" sourceLinked="0"/>
        <c:majorTickMark val="cross"/>
        <c:minorTickMark val="cross"/>
        <c:tickLblPos val="nextTo"/>
        <c:spPr>
          <a:ln w="6480">
            <a:noFill/>
            <a:prstDash val="solid"/>
          </a:ln>
        </c:spPr>
        <c:txPr>
          <a:bodyPr/>
          <a:lstStyle/>
          <a:p>
            <a:pPr>
              <a:defRPr sz="1000" b="0" strike="noStrike" spc="-1">
                <a:solidFill>
                  <a:srgbClr val="000000"/>
                </a:solidFill>
                <a:latin typeface="Arial"/>
                <a:ea typeface="Arial"/>
              </a:defRPr>
            </a:pPr>
            <a:endParaRPr lang="zh-CN"/>
          </a:p>
        </c:txPr>
        <c:crossAx val="39765932"/>
        <c:crosses val="autoZero"/>
        <c:crossBetween val="between"/>
      </c:valAx>
    </c:plotArea>
    <c:legend>
      <c:legendPos val="r"/>
      <c:overlay val="0"/>
      <c:spPr>
        <a:noFill/>
        <a:ln w="0">
          <a:noFill/>
          <a:prstDash val="solid"/>
        </a:ln>
      </c:spPr>
      <c:txPr>
        <a:bodyPr/>
        <a:lstStyle/>
        <a:p>
          <a:pPr>
            <a:defRPr sz="1000" b="0" strike="noStrike" spc="-1">
              <a:solidFill>
                <a:srgbClr val="1A1A1A"/>
              </a:solidFill>
              <a:latin typeface="Arial"/>
              <a:ea typeface="Arial"/>
            </a:defRPr>
          </a:pPr>
          <a:endParaRPr lang="zh-CN"/>
        </a:p>
      </c:txPr>
    </c:legend>
    <c:plotVisOnly val="1"/>
    <c:dispBlanksAs val="zero"/>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rot="0"/>
          <a:lstStyle/>
          <a:p>
            <a:pPr>
              <a:defRPr sz="1800" b="0" strike="noStrike" spc="-1">
                <a:solidFill>
                  <a:srgbClr val="757575"/>
                </a:solidFill>
                <a:latin typeface="Arial"/>
                <a:ea typeface="Arial"/>
              </a:defRPr>
            </a:pPr>
            <a:r>
              <a:rPr sz="1800" b="0" strike="noStrike" spc="-1">
                <a:solidFill>
                  <a:srgbClr val="757575"/>
                </a:solidFill>
                <a:latin typeface="Arial"/>
                <a:ea typeface="Arial"/>
              </a:rPr>
              <a:t>Sensitivity Analysis</a:t>
            </a:r>
          </a:p>
        </c:rich>
      </c:tx>
      <c:overlay val="0"/>
      <c:spPr>
        <a:noFill/>
        <a:ln w="0">
          <a:noFill/>
          <a:prstDash val="solid"/>
        </a:ln>
      </c:spPr>
    </c:title>
    <c:autoTitleDeleted val="0"/>
    <c:plotArea>
      <c:layout/>
      <c:barChart>
        <c:barDir val="col"/>
        <c:grouping val="clustered"/>
        <c:varyColors val="1"/>
        <c:ser>
          <c:idx val="0"/>
          <c:order val="0"/>
          <c:spPr>
            <a:solidFill>
              <a:srgbClr val="4285F4"/>
            </a:solidFill>
            <a:ln w="0">
              <a:noFill/>
              <a:prstDash val="solid"/>
            </a:ln>
          </c:spPr>
          <c:invertIfNegative val="0"/>
          <c:dPt>
            <c:idx val="0"/>
            <c:invertIfNegative val="1"/>
            <c:bubble3D val="0"/>
            <c:spPr>
              <a:solidFill>
                <a:srgbClr val="3A76D9"/>
              </a:solidFill>
              <a:ln w="0">
                <a:noFill/>
                <a:prstDash val="solid"/>
              </a:ln>
            </c:spPr>
            <c:extLst>
              <c:ext xmlns:c16="http://schemas.microsoft.com/office/drawing/2014/chart" uri="{C3380CC4-5D6E-409C-BE32-E72D297353CC}">
                <c16:uniqueId val="{00000001-BAE6-A645-BE9A-9C401B44A61A}"/>
              </c:ext>
            </c:extLst>
          </c:dPt>
          <c:dPt>
            <c:idx val="1"/>
            <c:invertIfNegative val="1"/>
            <c:bubble3D val="0"/>
            <c:spPr>
              <a:solidFill>
                <a:srgbClr val="D03B2F"/>
              </a:solidFill>
              <a:ln w="0">
                <a:noFill/>
                <a:prstDash val="solid"/>
              </a:ln>
            </c:spPr>
            <c:extLst>
              <c:ext xmlns:c16="http://schemas.microsoft.com/office/drawing/2014/chart" uri="{C3380CC4-5D6E-409C-BE32-E72D297353CC}">
                <c16:uniqueId val="{00000003-BAE6-A645-BE9A-9C401B44A61A}"/>
              </c:ext>
            </c:extLst>
          </c:dPt>
          <c:dPt>
            <c:idx val="2"/>
            <c:invertIfNegative val="1"/>
            <c:bubble3D val="0"/>
            <c:spPr>
              <a:solidFill>
                <a:srgbClr val="DFA703"/>
              </a:solidFill>
              <a:ln w="0">
                <a:noFill/>
                <a:prstDash val="solid"/>
              </a:ln>
            </c:spPr>
            <c:extLst>
              <c:ext xmlns:c16="http://schemas.microsoft.com/office/drawing/2014/chart" uri="{C3380CC4-5D6E-409C-BE32-E72D297353CC}">
                <c16:uniqueId val="{00000005-BAE6-A645-BE9A-9C401B44A61A}"/>
              </c:ext>
            </c:extLst>
          </c:dPt>
          <c:dPt>
            <c:idx val="3"/>
            <c:invertIfNegative val="1"/>
            <c:bubble3D val="0"/>
            <c:spPr>
              <a:solidFill>
                <a:srgbClr val="2E9549"/>
              </a:solidFill>
              <a:ln w="0">
                <a:noFill/>
                <a:prstDash val="solid"/>
              </a:ln>
            </c:spPr>
            <c:extLst>
              <c:ext xmlns:c16="http://schemas.microsoft.com/office/drawing/2014/chart" uri="{C3380CC4-5D6E-409C-BE32-E72D297353CC}">
                <c16:uniqueId val="{00000007-BAE6-A645-BE9A-9C401B44A61A}"/>
              </c:ext>
            </c:extLst>
          </c:dPt>
          <c:dPt>
            <c:idx val="4"/>
            <c:invertIfNegative val="1"/>
            <c:bubble3D val="0"/>
            <c:spPr>
              <a:solidFill>
                <a:srgbClr val="E36100"/>
              </a:solidFill>
              <a:ln w="0">
                <a:noFill/>
                <a:prstDash val="solid"/>
              </a:ln>
            </c:spPr>
            <c:extLst>
              <c:ext xmlns:c16="http://schemas.microsoft.com/office/drawing/2014/chart" uri="{C3380CC4-5D6E-409C-BE32-E72D297353CC}">
                <c16:uniqueId val="{00000009-BAE6-A645-BE9A-9C401B44A61A}"/>
              </c:ext>
            </c:extLst>
          </c:dPt>
          <c:dPt>
            <c:idx val="5"/>
            <c:invertIfNegative val="1"/>
            <c:bubble3D val="0"/>
            <c:spPr>
              <a:solidFill>
                <a:srgbClr val="3EA8B0"/>
              </a:solidFill>
              <a:ln w="0">
                <a:noFill/>
                <a:prstDash val="solid"/>
              </a:ln>
            </c:spPr>
            <c:extLst>
              <c:ext xmlns:c16="http://schemas.microsoft.com/office/drawing/2014/chart" uri="{C3380CC4-5D6E-409C-BE32-E72D297353CC}">
                <c16:uniqueId val="{0000000B-BAE6-A645-BE9A-9C401B44A61A}"/>
              </c:ext>
            </c:extLst>
          </c:dPt>
          <c:dPt>
            <c:idx val="6"/>
            <c:invertIfNegative val="1"/>
            <c:bubble3D val="0"/>
            <c:spPr>
              <a:solidFill>
                <a:srgbClr val="8FACF6"/>
              </a:solidFill>
              <a:ln w="0">
                <a:noFill/>
                <a:prstDash val="solid"/>
              </a:ln>
            </c:spPr>
            <c:extLst>
              <c:ext xmlns:c16="http://schemas.microsoft.com/office/drawing/2014/chart" uri="{C3380CC4-5D6E-409C-BE32-E72D297353CC}">
                <c16:uniqueId val="{0000000D-BAE6-A645-BE9A-9C401B44A61A}"/>
              </c:ext>
            </c:extLst>
          </c:dPt>
          <c:dPt>
            <c:idx val="7"/>
            <c:invertIfNegative val="1"/>
            <c:bubble3D val="0"/>
            <c:spPr>
              <a:solidFill>
                <a:srgbClr val="EF908C"/>
              </a:solidFill>
              <a:ln w="0">
                <a:noFill/>
                <a:prstDash val="solid"/>
              </a:ln>
            </c:spPr>
            <c:extLst>
              <c:ext xmlns:c16="http://schemas.microsoft.com/office/drawing/2014/chart" uri="{C3380CC4-5D6E-409C-BE32-E72D297353CC}">
                <c16:uniqueId val="{0000000F-BAE6-A645-BE9A-9C401B44A61A}"/>
              </c:ext>
            </c:extLst>
          </c:dPt>
          <c:dPt>
            <c:idx val="8"/>
            <c:invertIfNegative val="1"/>
            <c:bubble3D val="0"/>
            <c:spPr>
              <a:solidFill>
                <a:srgbClr val="FBCE87"/>
              </a:solidFill>
              <a:ln w="0">
                <a:noFill/>
                <a:prstDash val="solid"/>
              </a:ln>
            </c:spPr>
            <c:extLst>
              <c:ext xmlns:c16="http://schemas.microsoft.com/office/drawing/2014/chart" uri="{C3380CC4-5D6E-409C-BE32-E72D297353CC}">
                <c16:uniqueId val="{00000011-BAE6-A645-BE9A-9C401B44A61A}"/>
              </c:ext>
            </c:extLst>
          </c:dPt>
          <c:dPt>
            <c:idx val="9"/>
            <c:invertIfNegative val="1"/>
            <c:bubble3D val="0"/>
            <c:spPr>
              <a:solidFill>
                <a:srgbClr val="8CC195"/>
              </a:solidFill>
              <a:ln w="0">
                <a:noFill/>
                <a:prstDash val="solid"/>
              </a:ln>
            </c:spPr>
            <c:extLst>
              <c:ext xmlns:c16="http://schemas.microsoft.com/office/drawing/2014/chart" uri="{C3380CC4-5D6E-409C-BE32-E72D297353CC}">
                <c16:uniqueId val="{00000013-BAE6-A645-BE9A-9C401B44A61A}"/>
              </c:ext>
            </c:extLst>
          </c:dPt>
          <c:dPt>
            <c:idx val="10"/>
            <c:invertIfNegative val="1"/>
            <c:bubble3D val="0"/>
            <c:spPr>
              <a:solidFill>
                <a:srgbClr val="FF9F87"/>
              </a:solidFill>
              <a:ln w="0">
                <a:noFill/>
                <a:prstDash val="solid"/>
              </a:ln>
            </c:spPr>
            <c:extLst>
              <c:ext xmlns:c16="http://schemas.microsoft.com/office/drawing/2014/chart" uri="{C3380CC4-5D6E-409C-BE32-E72D297353CC}">
                <c16:uniqueId val="{00000015-BAE6-A645-BE9A-9C401B44A61A}"/>
              </c:ext>
            </c:extLst>
          </c:dPt>
          <c:dPt>
            <c:idx val="11"/>
            <c:invertIfNegative val="1"/>
            <c:bubble3D val="0"/>
            <c:spPr>
              <a:solidFill>
                <a:srgbClr val="90CED5"/>
              </a:solidFill>
              <a:ln w="0">
                <a:noFill/>
                <a:prstDash val="solid"/>
              </a:ln>
            </c:spPr>
            <c:extLst>
              <c:ext xmlns:c16="http://schemas.microsoft.com/office/drawing/2014/chart" uri="{C3380CC4-5D6E-409C-BE32-E72D297353CC}">
                <c16:uniqueId val="{00000017-BAE6-A645-BE9A-9C401B44A61A}"/>
              </c:ext>
            </c:extLst>
          </c:dPt>
          <c:dLbls>
            <c:dLbl>
              <c:idx val="0"/>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1-BAE6-A645-BE9A-9C401B44A61A}"/>
                </c:ext>
              </c:extLst>
            </c:dLbl>
            <c:dLbl>
              <c:idx val="1"/>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3-BAE6-A645-BE9A-9C401B44A61A}"/>
                </c:ext>
              </c:extLst>
            </c:dLbl>
            <c:dLbl>
              <c:idx val="2"/>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5-BAE6-A645-BE9A-9C401B44A61A}"/>
                </c:ext>
              </c:extLst>
            </c:dLbl>
            <c:dLbl>
              <c:idx val="3"/>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7-BAE6-A645-BE9A-9C401B44A61A}"/>
                </c:ext>
              </c:extLst>
            </c:dLbl>
            <c:dLbl>
              <c:idx val="4"/>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9-BAE6-A645-BE9A-9C401B44A61A}"/>
                </c:ext>
              </c:extLst>
            </c:dLbl>
            <c:dLbl>
              <c:idx val="5"/>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B-BAE6-A645-BE9A-9C401B44A61A}"/>
                </c:ext>
              </c:extLst>
            </c:dLbl>
            <c:dLbl>
              <c:idx val="6"/>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D-BAE6-A645-BE9A-9C401B44A61A}"/>
                </c:ext>
              </c:extLst>
            </c:dLbl>
            <c:dLbl>
              <c:idx val="7"/>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0F-BAE6-A645-BE9A-9C401B44A61A}"/>
                </c:ext>
              </c:extLst>
            </c:dLbl>
            <c:dLbl>
              <c:idx val="8"/>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11-BAE6-A645-BE9A-9C401B44A61A}"/>
                </c:ext>
              </c:extLst>
            </c:dLbl>
            <c:dLbl>
              <c:idx val="9"/>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13-BAE6-A645-BE9A-9C401B44A61A}"/>
                </c:ext>
              </c:extLst>
            </c:dLbl>
            <c:dLbl>
              <c:idx val="10"/>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15-BAE6-A645-BE9A-9C401B44A61A}"/>
                </c:ext>
              </c:extLst>
            </c:dLbl>
            <c:dLbl>
              <c:idx val="11"/>
              <c:spPr/>
              <c:txPr>
                <a:bodyPr wrap="square"/>
                <a:lstStyle/>
                <a:p>
                  <a:pPr>
                    <a:defRPr sz="1000" b="0" strike="noStrike" spc="-1">
                      <a:solidFill>
                        <a:srgbClr val="000000"/>
                      </a:solidFill>
                      <a:latin typeface="Arial"/>
                    </a:defRPr>
                  </a:pPr>
                  <a:endParaRPr lang="zh-CN"/>
                </a:p>
              </c:txPr>
              <c:dLblPos val="outEnd"/>
              <c:showLegendKey val="0"/>
              <c:showVal val="0"/>
              <c:showCatName val="0"/>
              <c:showSerName val="0"/>
              <c:showPercent val="0"/>
              <c:showBubbleSize val="1"/>
              <c:extLst>
                <c:ext xmlns:c16="http://schemas.microsoft.com/office/drawing/2014/chart" uri="{C3380CC4-5D6E-409C-BE32-E72D297353CC}">
                  <c16:uniqueId val="{00000017-BAE6-A645-BE9A-9C401B44A61A}"/>
                </c:ext>
              </c:extLst>
            </c:dLbl>
            <c:spPr>
              <a:noFill/>
              <a:ln>
                <a:noFill/>
              </a:ln>
              <a:effectLst/>
            </c:spPr>
            <c:txPr>
              <a:bodyPr wrap="square"/>
              <a:lstStyle/>
              <a:p>
                <a:pPr>
                  <a:defRPr sz="1000" b="0" strike="noStrike" spc="-1">
                    <a:solidFill>
                      <a:srgbClr val="000000"/>
                    </a:solidFill>
                    <a:latin typeface="Arial"/>
                    <a:ea typeface="Arial"/>
                  </a:defRPr>
                </a:pPr>
                <a:endParaRPr lang="zh-CN"/>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2.6015270472913299E-2</c:v>
                </c:pt>
                <c:pt idx="1">
                  <c:v>3.6180748683056763E-4</c:v>
                </c:pt>
                <c:pt idx="2">
                  <c:v>0</c:v>
                </c:pt>
                <c:pt idx="3">
                  <c:v>0</c:v>
                </c:pt>
                <c:pt idx="4">
                  <c:v>5.1431530877499299E-5</c:v>
                </c:pt>
                <c:pt idx="5">
                  <c:v>0</c:v>
                </c:pt>
                <c:pt idx="6">
                  <c:v>0</c:v>
                </c:pt>
                <c:pt idx="7">
                  <c:v>0</c:v>
                </c:pt>
                <c:pt idx="8">
                  <c:v>0</c:v>
                </c:pt>
                <c:pt idx="9">
                  <c:v>7.1785116381620107E-2</c:v>
                </c:pt>
                <c:pt idx="10">
                  <c:v>0</c:v>
                </c:pt>
                <c:pt idx="11">
                  <c:v>0</c:v>
                </c:pt>
              </c:numCache>
            </c:numRef>
          </c:val>
          <c:extLst>
            <c:ext xmlns:c16="http://schemas.microsoft.com/office/drawing/2014/chart" uri="{C3380CC4-5D6E-409C-BE32-E72D297353CC}">
              <c16:uniqueId val="{00000018-BAE6-A645-BE9A-9C401B44A61A}"/>
            </c:ext>
          </c:extLst>
        </c:ser>
        <c:dLbls>
          <c:showLegendKey val="0"/>
          <c:showVal val="0"/>
          <c:showCatName val="0"/>
          <c:showSerName val="0"/>
          <c:showPercent val="0"/>
          <c:showBubbleSize val="0"/>
        </c:dLbls>
        <c:gapWidth val="150"/>
        <c:axId val="20821734"/>
        <c:axId val="12685218"/>
      </c:barChart>
      <c:catAx>
        <c:axId val="20821734"/>
        <c:scaling>
          <c:orientation val="minMax"/>
        </c:scaling>
        <c:delete val="0"/>
        <c:axPos val="b"/>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Arial"/>
                <a:ea typeface="Arial"/>
              </a:defRPr>
            </a:pPr>
            <a:endParaRPr lang="zh-CN"/>
          </a:p>
        </c:txPr>
        <c:crossAx val="12685218"/>
        <c:crosses val="autoZero"/>
        <c:auto val="1"/>
        <c:lblAlgn val="ctr"/>
        <c:lblOffset val="100"/>
        <c:noMultiLvlLbl val="0"/>
      </c:catAx>
      <c:valAx>
        <c:axId val="12685218"/>
        <c:scaling>
          <c:orientation val="minMax"/>
        </c:scaling>
        <c:delete val="0"/>
        <c:axPos val="l"/>
        <c:numFmt formatCode="0.00%" sourceLinked="0"/>
        <c:majorTickMark val="cross"/>
        <c:minorTickMark val="cross"/>
        <c:tickLblPos val="nextTo"/>
        <c:spPr>
          <a:ln w="6480">
            <a:noFill/>
            <a:prstDash val="solid"/>
          </a:ln>
        </c:spPr>
        <c:txPr>
          <a:bodyPr/>
          <a:lstStyle/>
          <a:p>
            <a:pPr>
              <a:defRPr sz="1000" b="0" strike="noStrike" spc="-1">
                <a:solidFill>
                  <a:srgbClr val="000000"/>
                </a:solidFill>
                <a:latin typeface="Arial"/>
                <a:ea typeface="Arial"/>
              </a:defRPr>
            </a:pPr>
            <a:endParaRPr lang="zh-CN"/>
          </a:p>
        </c:txPr>
        <c:crossAx val="20821734"/>
        <c:crosses val="autoZero"/>
        <c:crossBetween val="between"/>
      </c:valAx>
    </c:plotArea>
    <c:legend>
      <c:legendPos val="r"/>
      <c:overlay val="0"/>
      <c:spPr>
        <a:noFill/>
        <a:ln w="0">
          <a:noFill/>
          <a:prstDash val="solid"/>
        </a:ln>
      </c:spPr>
      <c:txPr>
        <a:bodyPr/>
        <a:lstStyle/>
        <a:p>
          <a:pPr>
            <a:defRPr sz="1000" b="0" strike="noStrike" spc="-1">
              <a:solidFill>
                <a:srgbClr val="1A1A1A"/>
              </a:solidFill>
              <a:latin typeface="Arial"/>
              <a:ea typeface="Arial"/>
            </a:defRPr>
          </a:pPr>
          <a:endParaRPr lang="zh-CN"/>
        </a:p>
      </c:txPr>
    </c:legend>
    <c:plotVisOnly val="1"/>
    <c:dispBlanksAs val="zero"/>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0</xdr:row>
      <xdr:rowOff>181080</xdr:rowOff>
    </xdr:from>
    <xdr:to>
      <xdr:col>17</xdr:col>
      <xdr:colOff>493920</xdr:colOff>
      <xdr:row>21</xdr:row>
      <xdr:rowOff>152280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657360</xdr:colOff>
      <xdr:row>2</xdr:row>
      <xdr:rowOff>171360</xdr:rowOff>
    </xdr:from>
    <xdr:to>
      <xdr:col>8</xdr:col>
      <xdr:colOff>258480</xdr:colOff>
      <xdr:row>23</xdr:row>
      <xdr:rowOff>142560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39"/>
  <sheetViews>
    <sheetView tabSelected="1" zoomScale="60" zoomScaleNormal="100" workbookViewId="0">
      <selection activeCell="A39" sqref="A39:J39"/>
    </sheetView>
  </sheetViews>
  <sheetFormatPr baseColWidth="10" defaultColWidth="12.6640625" defaultRowHeight="13" x14ac:dyDescent="0.15"/>
  <cols>
    <col min="1" max="1" width="18" customWidth="1"/>
  </cols>
  <sheetData>
    <row r="2" spans="1:9" ht="15.75" customHeight="1" x14ac:dyDescent="0.15">
      <c r="A2" s="1"/>
      <c r="B2" s="2"/>
      <c r="C2" s="2"/>
      <c r="D2" s="2"/>
      <c r="E2" s="2"/>
      <c r="F2" s="2"/>
      <c r="G2" s="2"/>
      <c r="H2" s="2"/>
      <c r="I2" s="3"/>
    </row>
    <row r="3" spans="1:9" ht="15.75" customHeight="1" x14ac:dyDescent="0.15">
      <c r="A3" s="4" t="s">
        <v>0</v>
      </c>
      <c r="E3" s="5" t="s">
        <v>1</v>
      </c>
      <c r="I3" s="6"/>
    </row>
    <row r="4" spans="1:9" ht="15.75" customHeight="1" x14ac:dyDescent="0.15">
      <c r="A4" s="7"/>
      <c r="B4" s="8" t="s">
        <v>2</v>
      </c>
      <c r="I4" s="6"/>
    </row>
    <row r="5" spans="1:9" ht="15.75" customHeight="1" x14ac:dyDescent="0.15">
      <c r="A5" s="7"/>
      <c r="E5" s="9" t="s">
        <v>3</v>
      </c>
      <c r="F5" s="9" t="s">
        <v>4</v>
      </c>
      <c r="G5" s="9" t="s">
        <v>5</v>
      </c>
      <c r="I5" s="6"/>
    </row>
    <row r="6" spans="1:9" ht="15.75" customHeight="1" x14ac:dyDescent="0.15">
      <c r="A6" s="4" t="s">
        <v>6</v>
      </c>
      <c r="B6">
        <v>120</v>
      </c>
      <c r="D6">
        <v>0</v>
      </c>
      <c r="E6">
        <v>0.05</v>
      </c>
      <c r="F6">
        <v>0.1</v>
      </c>
      <c r="I6" s="6"/>
    </row>
    <row r="7" spans="1:9" ht="15.75" customHeight="1" x14ac:dyDescent="0.15">
      <c r="A7" s="7" t="s">
        <v>7</v>
      </c>
      <c r="B7" s="10">
        <v>60</v>
      </c>
      <c r="C7" s="9" t="s">
        <v>8</v>
      </c>
      <c r="D7">
        <v>0</v>
      </c>
      <c r="E7" s="11">
        <v>0.2</v>
      </c>
      <c r="F7" s="12">
        <v>0.3</v>
      </c>
      <c r="G7" s="11">
        <v>0</v>
      </c>
      <c r="I7" s="6"/>
    </row>
    <row r="8" spans="1:9" ht="15.75" customHeight="1" x14ac:dyDescent="0.15">
      <c r="A8" s="7" t="s">
        <v>9</v>
      </c>
      <c r="B8" s="13">
        <v>0.28000000000000003</v>
      </c>
      <c r="C8" s="9" t="s">
        <v>8</v>
      </c>
      <c r="D8">
        <v>1</v>
      </c>
      <c r="E8" s="11">
        <v>0.75</v>
      </c>
      <c r="F8" s="12">
        <v>0.6</v>
      </c>
      <c r="G8" s="11">
        <v>0</v>
      </c>
      <c r="I8" s="6"/>
    </row>
    <row r="9" spans="1:9" ht="15.75" customHeight="1" x14ac:dyDescent="0.15">
      <c r="A9" s="7" t="s">
        <v>10</v>
      </c>
      <c r="B9" s="13">
        <v>1.0003500000000001</v>
      </c>
      <c r="C9" s="9" t="s">
        <v>8</v>
      </c>
      <c r="E9" s="11">
        <v>0</v>
      </c>
      <c r="F9" s="11">
        <v>0</v>
      </c>
      <c r="G9" s="11">
        <v>0</v>
      </c>
      <c r="I9" s="6"/>
    </row>
    <row r="10" spans="1:9" ht="15.75" customHeight="1" x14ac:dyDescent="0.15">
      <c r="A10" s="7"/>
      <c r="I10" s="6"/>
    </row>
    <row r="11" spans="1:9" ht="15.75" customHeight="1" x14ac:dyDescent="0.15">
      <c r="A11" s="4" t="s">
        <v>11</v>
      </c>
      <c r="B11">
        <v>6.6</v>
      </c>
      <c r="D11">
        <v>0</v>
      </c>
      <c r="E11">
        <v>0.03</v>
      </c>
      <c r="F11">
        <v>0.05</v>
      </c>
      <c r="I11" s="6"/>
    </row>
    <row r="12" spans="1:9" ht="15.75" customHeight="1" x14ac:dyDescent="0.15">
      <c r="A12" s="7" t="s">
        <v>12</v>
      </c>
      <c r="B12" s="13">
        <v>5.0004</v>
      </c>
      <c r="C12" s="9" t="s">
        <v>8</v>
      </c>
      <c r="E12" s="11">
        <v>0</v>
      </c>
      <c r="F12" s="11">
        <v>0</v>
      </c>
      <c r="G12" s="11">
        <v>0</v>
      </c>
      <c r="I12" s="6"/>
    </row>
    <row r="13" spans="1:9" ht="15.75" customHeight="1" x14ac:dyDescent="0.15">
      <c r="A13" s="7"/>
      <c r="B13" s="14"/>
      <c r="I13" s="6"/>
    </row>
    <row r="14" spans="1:9" ht="15.75" customHeight="1" x14ac:dyDescent="0.15">
      <c r="A14" s="7"/>
      <c r="B14" s="14"/>
      <c r="I14" s="6"/>
    </row>
    <row r="15" spans="1:9" ht="15.75" customHeight="1" x14ac:dyDescent="0.15">
      <c r="A15" s="4" t="s">
        <v>13</v>
      </c>
      <c r="B15" s="14">
        <v>57</v>
      </c>
      <c r="D15">
        <v>0</v>
      </c>
      <c r="E15">
        <v>0.05</v>
      </c>
      <c r="F15">
        <v>0.1</v>
      </c>
      <c r="I15" s="6"/>
    </row>
    <row r="16" spans="1:9" ht="15.75" customHeight="1" x14ac:dyDescent="0.15">
      <c r="A16" s="7" t="s">
        <v>12</v>
      </c>
      <c r="B16" s="13">
        <v>0.03</v>
      </c>
      <c r="C16" s="9" t="s">
        <v>8</v>
      </c>
      <c r="D16">
        <v>0</v>
      </c>
      <c r="E16" s="11">
        <v>0.95</v>
      </c>
      <c r="F16" s="11">
        <v>0.9</v>
      </c>
      <c r="G16" s="11">
        <v>0</v>
      </c>
      <c r="I16" s="6"/>
    </row>
    <row r="17" spans="1:17" ht="15.75" customHeight="1" x14ac:dyDescent="0.15">
      <c r="A17" s="7" t="s">
        <v>9</v>
      </c>
      <c r="B17" s="13">
        <v>1E-3</v>
      </c>
      <c r="C17" s="9" t="s">
        <v>8</v>
      </c>
      <c r="D17">
        <v>1</v>
      </c>
      <c r="E17" s="11">
        <v>0</v>
      </c>
      <c r="F17" s="11">
        <v>0</v>
      </c>
      <c r="G17" s="11">
        <v>0</v>
      </c>
      <c r="I17" s="6"/>
    </row>
    <row r="18" spans="1:17" ht="15.75" customHeight="1" x14ac:dyDescent="0.15">
      <c r="A18" s="7" t="s">
        <v>14</v>
      </c>
      <c r="B18" s="13">
        <v>1.0004500000000001</v>
      </c>
      <c r="C18" s="9" t="s">
        <v>8</v>
      </c>
      <c r="E18" s="11">
        <v>0</v>
      </c>
      <c r="F18" s="11">
        <v>0</v>
      </c>
      <c r="G18" s="11">
        <v>0</v>
      </c>
      <c r="I18" s="6"/>
    </row>
    <row r="19" spans="1:17" ht="15.75" customHeight="1" x14ac:dyDescent="0.15">
      <c r="A19" s="7"/>
      <c r="B19" s="14"/>
      <c r="I19" s="6"/>
    </row>
    <row r="20" spans="1:17" ht="15.75" customHeight="1" x14ac:dyDescent="0.15">
      <c r="A20" s="4" t="s">
        <v>15</v>
      </c>
      <c r="B20" s="14">
        <v>0</v>
      </c>
      <c r="D20">
        <v>0</v>
      </c>
      <c r="E20">
        <v>0</v>
      </c>
      <c r="F20">
        <v>0</v>
      </c>
      <c r="I20" s="6"/>
    </row>
    <row r="21" spans="1:17" ht="15.75" customHeight="1" x14ac:dyDescent="0.15">
      <c r="A21" s="7" t="s">
        <v>12</v>
      </c>
      <c r="B21" s="13">
        <v>0</v>
      </c>
      <c r="C21" s="9" t="s">
        <v>8</v>
      </c>
      <c r="D21">
        <v>0</v>
      </c>
      <c r="E21" s="11">
        <v>0</v>
      </c>
      <c r="F21" s="11">
        <v>0</v>
      </c>
      <c r="G21" s="11">
        <v>0</v>
      </c>
      <c r="I21" s="6"/>
    </row>
    <row r="22" spans="1:17" ht="15.75" customHeight="1" x14ac:dyDescent="0.15">
      <c r="A22" s="7" t="s">
        <v>16</v>
      </c>
      <c r="B22" s="13">
        <v>1.0005999999999999</v>
      </c>
      <c r="C22" s="9" t="s">
        <v>8</v>
      </c>
      <c r="E22" s="11">
        <v>0</v>
      </c>
      <c r="F22" s="11">
        <v>0</v>
      </c>
      <c r="G22" s="11">
        <v>0</v>
      </c>
      <c r="I22" s="6"/>
    </row>
    <row r="23" spans="1:17" ht="15.75" customHeight="1" x14ac:dyDescent="0.15">
      <c r="A23" s="7"/>
      <c r="I23" s="6"/>
    </row>
    <row r="24" spans="1:17" ht="15.75" customHeight="1" x14ac:dyDescent="0.15">
      <c r="A24" s="4" t="s">
        <v>17</v>
      </c>
      <c r="B24">
        <v>0</v>
      </c>
      <c r="I24" s="6"/>
      <c r="K24" s="1"/>
      <c r="L24" s="2"/>
      <c r="M24" s="2"/>
      <c r="N24" s="2"/>
      <c r="O24" s="2"/>
      <c r="P24" s="2"/>
      <c r="Q24" s="3"/>
    </row>
    <row r="25" spans="1:17" ht="15.75" customHeight="1" x14ac:dyDescent="0.15">
      <c r="A25" s="7" t="s">
        <v>18</v>
      </c>
      <c r="B25" s="15">
        <v>350</v>
      </c>
      <c r="C25" s="9" t="s">
        <v>19</v>
      </c>
      <c r="D25">
        <v>0</v>
      </c>
      <c r="E25" s="11">
        <v>1</v>
      </c>
      <c r="F25" s="11">
        <v>0.9</v>
      </c>
      <c r="G25" s="11">
        <v>0</v>
      </c>
      <c r="I25" s="6"/>
      <c r="K25" s="7"/>
      <c r="L25" s="16" t="s">
        <v>20</v>
      </c>
      <c r="M25" s="16"/>
      <c r="N25" s="16"/>
      <c r="O25" s="16" t="s">
        <v>21</v>
      </c>
      <c r="P25" s="16"/>
      <c r="Q25" s="6"/>
    </row>
    <row r="26" spans="1:17" ht="15.75" customHeight="1" x14ac:dyDescent="0.15">
      <c r="A26" s="7" t="s">
        <v>22</v>
      </c>
      <c r="B26" s="13">
        <v>1200</v>
      </c>
      <c r="C26" s="9" t="s">
        <v>8</v>
      </c>
      <c r="D26">
        <v>0</v>
      </c>
      <c r="E26" s="11">
        <v>0</v>
      </c>
      <c r="F26" s="11">
        <v>0.1</v>
      </c>
      <c r="G26" s="11">
        <v>0</v>
      </c>
      <c r="I26" s="6"/>
      <c r="K26" s="7"/>
      <c r="L26" s="16" t="str">
        <f>E5</f>
        <v>"off"</v>
      </c>
      <c r="M26" s="16">
        <f>SUMPRODUCT(B7:B28, E7:E28)</f>
        <v>365.28649999999999</v>
      </c>
      <c r="N26" s="16" t="s">
        <v>8</v>
      </c>
      <c r="O26" s="17">
        <f>$M$31/M26</f>
        <v>8.5235835433283193E-3</v>
      </c>
      <c r="P26" s="16" t="s">
        <v>23</v>
      </c>
      <c r="Q26" s="6"/>
    </row>
    <row r="27" spans="1:17" ht="15.75" customHeight="1" x14ac:dyDescent="0.15">
      <c r="A27" s="7" t="s">
        <v>24</v>
      </c>
      <c r="B27" s="13">
        <v>0</v>
      </c>
      <c r="C27" s="9" t="s">
        <v>8</v>
      </c>
      <c r="D27">
        <v>1</v>
      </c>
      <c r="E27" s="11">
        <v>0</v>
      </c>
      <c r="F27" s="11">
        <v>0</v>
      </c>
      <c r="G27" s="11">
        <v>0</v>
      </c>
      <c r="I27" s="6"/>
      <c r="K27" s="7"/>
      <c r="L27" s="16" t="str">
        <f>F5</f>
        <v>"sensing"</v>
      </c>
      <c r="M27" s="16">
        <f>SUMPRODUCT(B7:B28, F7:F28)</f>
        <v>459.22500000000002</v>
      </c>
      <c r="N27" s="16" t="s">
        <v>8</v>
      </c>
      <c r="O27" s="17">
        <f>$M$31/M27</f>
        <v>6.780009799118079E-3</v>
      </c>
      <c r="P27" s="16" t="s">
        <v>23</v>
      </c>
      <c r="Q27" s="6"/>
    </row>
    <row r="28" spans="1:17" ht="15.75" customHeight="1" x14ac:dyDescent="0.15">
      <c r="A28" s="7" t="s">
        <v>25</v>
      </c>
      <c r="B28" s="13">
        <v>10.000000999999999</v>
      </c>
      <c r="C28" s="9" t="s">
        <v>8</v>
      </c>
      <c r="E28" s="11">
        <v>0</v>
      </c>
      <c r="F28" s="11">
        <v>0</v>
      </c>
      <c r="G28" s="11">
        <v>0</v>
      </c>
      <c r="I28" s="6"/>
      <c r="K28" s="7"/>
      <c r="L28" s="16" t="str">
        <f>G5</f>
        <v>"interactive"</v>
      </c>
      <c r="M28" s="16">
        <f>SUMPRODUCT(B7:B28, G7:G28)</f>
        <v>0</v>
      </c>
      <c r="N28" s="16" t="s">
        <v>8</v>
      </c>
      <c r="O28" s="17" t="e">
        <f>$M$31/M28</f>
        <v>#DIV/0!</v>
      </c>
      <c r="P28" s="16" t="s">
        <v>23</v>
      </c>
      <c r="Q28" s="6"/>
    </row>
    <row r="29" spans="1:17" ht="15.75" customHeight="1" x14ac:dyDescent="0.15">
      <c r="A29" s="7"/>
      <c r="D29">
        <v>16</v>
      </c>
      <c r="E29">
        <v>7</v>
      </c>
      <c r="F29">
        <v>1</v>
      </c>
      <c r="I29" s="6"/>
      <c r="K29" s="7"/>
      <c r="Q29" s="6"/>
    </row>
    <row r="30" spans="1:17" ht="15.75" customHeight="1" x14ac:dyDescent="0.15">
      <c r="A30" s="4"/>
      <c r="E30" s="15">
        <v>16</v>
      </c>
      <c r="F30" s="15">
        <v>7</v>
      </c>
      <c r="G30" s="15">
        <v>1</v>
      </c>
      <c r="H30" s="9" t="s">
        <v>26</v>
      </c>
      <c r="I30" s="6"/>
      <c r="K30" s="7"/>
      <c r="L30" s="9" t="s">
        <v>27</v>
      </c>
      <c r="Q30" s="6"/>
    </row>
    <row r="31" spans="1:17" ht="15.75" customHeight="1" x14ac:dyDescent="0.15">
      <c r="A31" s="4" t="s">
        <v>28</v>
      </c>
      <c r="B31">
        <v>2000</v>
      </c>
      <c r="I31" s="6"/>
      <c r="K31" s="7"/>
      <c r="M31" s="9">
        <f>B32*B33*B34</f>
        <v>3.11355</v>
      </c>
      <c r="N31" s="9" t="s">
        <v>29</v>
      </c>
      <c r="Q31" s="6"/>
    </row>
    <row r="32" spans="1:17" ht="15.75" customHeight="1" x14ac:dyDescent="0.15">
      <c r="A32" s="7" t="s">
        <v>30</v>
      </c>
      <c r="B32" s="13">
        <v>3.7</v>
      </c>
      <c r="C32" s="9" t="s">
        <v>31</v>
      </c>
      <c r="I32" s="6"/>
      <c r="K32" s="7"/>
      <c r="Q32" s="6"/>
    </row>
    <row r="33" spans="1:17" ht="15.75" customHeight="1" x14ac:dyDescent="0.15">
      <c r="A33" s="7" t="s">
        <v>32</v>
      </c>
      <c r="B33" s="13">
        <v>0.85</v>
      </c>
      <c r="C33" s="9" t="s">
        <v>33</v>
      </c>
      <c r="I33" s="6"/>
      <c r="K33" s="7"/>
      <c r="L33" s="18" t="s">
        <v>34</v>
      </c>
      <c r="M33" s="19">
        <f>M31/(E30*M26+F30*M27+G30*M28)</f>
        <v>3.436908437085606E-4</v>
      </c>
      <c r="N33" s="18" t="s">
        <v>35</v>
      </c>
      <c r="Q33" s="6"/>
    </row>
    <row r="34" spans="1:17" ht="15.75" customHeight="1" x14ac:dyDescent="0.15">
      <c r="A34" s="7" t="s">
        <v>36</v>
      </c>
      <c r="B34" s="11">
        <v>0.99</v>
      </c>
      <c r="I34" s="6"/>
      <c r="K34" s="7"/>
      <c r="L34" s="18" t="s">
        <v>37</v>
      </c>
      <c r="M34" s="19">
        <f>M33*24</f>
        <v>8.2485802490054536E-3</v>
      </c>
      <c r="N34" s="18" t="s">
        <v>23</v>
      </c>
      <c r="Q34" s="6"/>
    </row>
    <row r="35" spans="1:17" ht="15.75" customHeight="1" x14ac:dyDescent="0.15">
      <c r="A35" s="20"/>
      <c r="B35" s="21"/>
      <c r="C35" s="21"/>
      <c r="D35" s="21"/>
      <c r="E35" s="21"/>
      <c r="F35" s="21"/>
      <c r="G35" s="21"/>
      <c r="H35" s="21"/>
      <c r="I35" s="22"/>
      <c r="K35" s="20"/>
      <c r="L35" s="21"/>
      <c r="M35" s="21"/>
      <c r="N35" s="21"/>
      <c r="O35" s="21"/>
      <c r="P35" s="21"/>
      <c r="Q35" s="22"/>
    </row>
    <row r="37" spans="1:17" s="25" customFormat="1" x14ac:dyDescent="0.15"/>
    <row r="38" spans="1:17" ht="15.75" customHeight="1" x14ac:dyDescent="0.15">
      <c r="A38" s="5" t="s">
        <v>38</v>
      </c>
    </row>
    <row r="39" spans="1:17" ht="409.6" customHeight="1" x14ac:dyDescent="0.15">
      <c r="A39" s="27" t="s">
        <v>54</v>
      </c>
      <c r="B39" s="27"/>
      <c r="C39" s="27"/>
      <c r="D39" s="27"/>
      <c r="E39" s="27"/>
      <c r="F39" s="27"/>
      <c r="G39" s="27"/>
      <c r="H39" s="27"/>
      <c r="I39" s="27"/>
      <c r="J39" s="27"/>
      <c r="K39" s="26"/>
      <c r="L39" s="26"/>
    </row>
  </sheetData>
  <mergeCells count="1">
    <mergeCell ref="A39:J39"/>
  </mergeCells>
  <phoneticPr fontId="5" type="noConversion"/>
  <pageMargins left="0.7" right="0.7" top="0.75" bottom="0.75" header="0.511811023622047" footer="0.511811023622047"/>
  <pageSetup paperSize="9"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0:W118"/>
  <sheetViews>
    <sheetView zoomScaleNormal="100" workbookViewId="0"/>
  </sheetViews>
  <sheetFormatPr baseColWidth="10" defaultColWidth="12.6640625" defaultRowHeight="13" x14ac:dyDescent="0.15"/>
  <sheetData>
    <row r="50" spans="1:23" ht="15.75" customHeight="1" x14ac:dyDescent="0.15">
      <c r="A50" s="9" t="s">
        <v>39</v>
      </c>
    </row>
    <row r="52" spans="1:23" ht="15.75" customHeight="1" x14ac:dyDescent="0.15">
      <c r="A52" s="9" t="str">
        <f>'System Parameters'!A3</f>
        <v>System Parameters (defined by hardware)</v>
      </c>
      <c r="B52" s="9">
        <f>'System Parameters'!B3</f>
        <v>0</v>
      </c>
      <c r="C52" s="9">
        <f>'System Parameters'!C3</f>
        <v>0</v>
      </c>
      <c r="D52" s="9">
        <f>'System Parameters'!D3</f>
        <v>0</v>
      </c>
      <c r="T52" s="9" t="str">
        <f>'System Parameters'!E3</f>
        <v>Profiles (usage of each component mode - defined by software and usage)</v>
      </c>
      <c r="U52" s="9">
        <f>'System Parameters'!F3</f>
        <v>0</v>
      </c>
      <c r="V52" s="9">
        <f>'System Parameters'!G3</f>
        <v>0</v>
      </c>
      <c r="W52" s="9">
        <f>'System Parameters'!H3</f>
        <v>0</v>
      </c>
    </row>
    <row r="53" spans="1:23" ht="15.75" customHeight="1" x14ac:dyDescent="0.15">
      <c r="A53" s="9">
        <f>'System Parameters'!A4</f>
        <v>0</v>
      </c>
      <c r="B53" s="9" t="str">
        <f>'System Parameters'!B4</f>
        <v>form the datasheets</v>
      </c>
      <c r="C53" s="9">
        <f>'System Parameters'!C4</f>
        <v>0</v>
      </c>
      <c r="D53" s="9">
        <f>'System Parameters'!D4</f>
        <v>0</v>
      </c>
      <c r="T53" s="9">
        <f>'System Parameters'!E4</f>
        <v>0</v>
      </c>
      <c r="U53" s="9">
        <f>'System Parameters'!F4</f>
        <v>0</v>
      </c>
      <c r="V53" s="9">
        <f>'System Parameters'!G4</f>
        <v>0</v>
      </c>
      <c r="W53" s="9">
        <f>'System Parameters'!H4</f>
        <v>0</v>
      </c>
    </row>
    <row r="54" spans="1:23" ht="15.75" customHeight="1" x14ac:dyDescent="0.15">
      <c r="A54" s="9">
        <f>'System Parameters'!A5</f>
        <v>0</v>
      </c>
      <c r="B54" s="9">
        <f>'System Parameters'!B5</f>
        <v>0</v>
      </c>
      <c r="C54" s="9">
        <f>'System Parameters'!C5</f>
        <v>0</v>
      </c>
      <c r="D54" s="9">
        <f>'System Parameters'!D5</f>
        <v>0</v>
      </c>
      <c r="T54" s="9" t="str">
        <f>'System Parameters'!E5</f>
        <v>"off"</v>
      </c>
      <c r="U54" s="9" t="str">
        <f>'System Parameters'!F5</f>
        <v>"sensing"</v>
      </c>
      <c r="V54" s="9" t="str">
        <f>'System Parameters'!G5</f>
        <v>"interactive"</v>
      </c>
      <c r="W54" s="9">
        <f>'System Parameters'!H5</f>
        <v>0</v>
      </c>
    </row>
    <row r="55" spans="1:23" ht="15.75" customHeight="1" x14ac:dyDescent="0.15">
      <c r="A55" s="9" t="str">
        <f>'System Parameters'!A6</f>
        <v>Processor</v>
      </c>
      <c r="B55" s="9">
        <f>'System Parameters'!B6</f>
        <v>120</v>
      </c>
      <c r="C55" s="9">
        <f>'System Parameters'!C6</f>
        <v>0</v>
      </c>
      <c r="D55" s="9">
        <f>'System Parameters'!D6</f>
        <v>0</v>
      </c>
      <c r="T55" s="9">
        <f>'System Parameters'!E6</f>
        <v>0.05</v>
      </c>
      <c r="U55" s="9">
        <f>'System Parameters'!F6</f>
        <v>0.1</v>
      </c>
      <c r="V55" s="9">
        <f>'System Parameters'!G6</f>
        <v>0</v>
      </c>
      <c r="W55" s="9">
        <f>'System Parameters'!H6</f>
        <v>0</v>
      </c>
    </row>
    <row r="56" spans="1:23" ht="15.75" customHeight="1" x14ac:dyDescent="0.15">
      <c r="A56" s="9" t="str">
        <f>'System Parameters'!A7</f>
        <v>Active</v>
      </c>
      <c r="B56" s="14">
        <f>'System Parameters'!B7</f>
        <v>60</v>
      </c>
      <c r="C56" s="9" t="str">
        <f>'System Parameters'!C7</f>
        <v>mW</v>
      </c>
      <c r="D56" s="9">
        <f>$B56*0.9</f>
        <v>54</v>
      </c>
      <c r="E56" s="14">
        <f t="shared" ref="E56:O56" si="0">$B56</f>
        <v>60</v>
      </c>
      <c r="F56" s="14">
        <f t="shared" si="0"/>
        <v>60</v>
      </c>
      <c r="G56" s="14">
        <f t="shared" si="0"/>
        <v>60</v>
      </c>
      <c r="H56" s="14">
        <f t="shared" si="0"/>
        <v>60</v>
      </c>
      <c r="I56" s="14">
        <f t="shared" si="0"/>
        <v>60</v>
      </c>
      <c r="J56" s="14">
        <f t="shared" si="0"/>
        <v>60</v>
      </c>
      <c r="K56" s="14">
        <f t="shared" si="0"/>
        <v>60</v>
      </c>
      <c r="L56" s="14">
        <f t="shared" si="0"/>
        <v>60</v>
      </c>
      <c r="M56" s="14">
        <f t="shared" si="0"/>
        <v>60</v>
      </c>
      <c r="N56" s="14">
        <f t="shared" si="0"/>
        <v>60</v>
      </c>
      <c r="O56" s="14">
        <f t="shared" si="0"/>
        <v>60</v>
      </c>
      <c r="T56" s="23">
        <f>'System Parameters'!E7</f>
        <v>0.2</v>
      </c>
      <c r="U56" s="23">
        <f>'System Parameters'!F7</f>
        <v>0.3</v>
      </c>
      <c r="V56" s="23">
        <f>'System Parameters'!G7</f>
        <v>0</v>
      </c>
      <c r="W56" s="9">
        <f>'System Parameters'!H7</f>
        <v>0</v>
      </c>
    </row>
    <row r="57" spans="1:23" ht="15.75" customHeight="1" x14ac:dyDescent="0.15">
      <c r="A57" s="9" t="str">
        <f>'System Parameters'!A8</f>
        <v>Idle</v>
      </c>
      <c r="B57" s="14">
        <f>'System Parameters'!B8</f>
        <v>0.28000000000000003</v>
      </c>
      <c r="C57" s="9" t="str">
        <f>'System Parameters'!C8</f>
        <v>mW</v>
      </c>
      <c r="D57" s="14">
        <f t="shared" ref="D57:D76" si="1">$B57</f>
        <v>0.28000000000000003</v>
      </c>
      <c r="E57" s="9">
        <f>$B57*0.9</f>
        <v>0.25200000000000006</v>
      </c>
      <c r="F57" s="14">
        <f t="shared" ref="F57:O57" si="2">$B57</f>
        <v>0.28000000000000003</v>
      </c>
      <c r="G57" s="14">
        <f t="shared" si="2"/>
        <v>0.28000000000000003</v>
      </c>
      <c r="H57" s="14">
        <f t="shared" si="2"/>
        <v>0.28000000000000003</v>
      </c>
      <c r="I57" s="14">
        <f t="shared" si="2"/>
        <v>0.28000000000000003</v>
      </c>
      <c r="J57" s="14">
        <f t="shared" si="2"/>
        <v>0.28000000000000003</v>
      </c>
      <c r="K57" s="14">
        <f t="shared" si="2"/>
        <v>0.28000000000000003</v>
      </c>
      <c r="L57" s="14">
        <f t="shared" si="2"/>
        <v>0.28000000000000003</v>
      </c>
      <c r="M57" s="14">
        <f t="shared" si="2"/>
        <v>0.28000000000000003</v>
      </c>
      <c r="N57" s="14">
        <f t="shared" si="2"/>
        <v>0.28000000000000003</v>
      </c>
      <c r="O57" s="14">
        <f t="shared" si="2"/>
        <v>0.28000000000000003</v>
      </c>
      <c r="T57" s="23">
        <f>'System Parameters'!E8</f>
        <v>0.75</v>
      </c>
      <c r="U57" s="23">
        <f>'System Parameters'!F8</f>
        <v>0.6</v>
      </c>
      <c r="V57" s="23">
        <f>'System Parameters'!G8</f>
        <v>0</v>
      </c>
      <c r="W57" s="9">
        <f>'System Parameters'!H8</f>
        <v>0</v>
      </c>
    </row>
    <row r="58" spans="1:23" ht="15.75" customHeight="1" x14ac:dyDescent="0.15">
      <c r="A58" s="9" t="str">
        <f>'System Parameters'!A9</f>
        <v>Sleep</v>
      </c>
      <c r="B58" s="14">
        <f>'System Parameters'!B9</f>
        <v>1.0003500000000001</v>
      </c>
      <c r="C58" s="9" t="str">
        <f>'System Parameters'!C9</f>
        <v>mW</v>
      </c>
      <c r="D58" s="14">
        <f t="shared" si="1"/>
        <v>1.0003500000000001</v>
      </c>
      <c r="E58" s="14">
        <f t="shared" ref="E58:E76" si="3">$B58</f>
        <v>1.0003500000000001</v>
      </c>
      <c r="F58" s="9">
        <f>$B58*0.9</f>
        <v>0.90031500000000009</v>
      </c>
      <c r="G58" s="14">
        <f t="shared" ref="G58:O60" si="4">$B58</f>
        <v>1.0003500000000001</v>
      </c>
      <c r="H58" s="14">
        <f t="shared" si="4"/>
        <v>1.0003500000000001</v>
      </c>
      <c r="I58" s="14">
        <f t="shared" si="4"/>
        <v>1.0003500000000001</v>
      </c>
      <c r="J58" s="14">
        <f t="shared" si="4"/>
        <v>1.0003500000000001</v>
      </c>
      <c r="K58" s="14">
        <f t="shared" si="4"/>
        <v>1.0003500000000001</v>
      </c>
      <c r="L58" s="14">
        <f t="shared" si="4"/>
        <v>1.0003500000000001</v>
      </c>
      <c r="M58" s="14">
        <f t="shared" si="4"/>
        <v>1.0003500000000001</v>
      </c>
      <c r="N58" s="14">
        <f t="shared" si="4"/>
        <v>1.0003500000000001</v>
      </c>
      <c r="O58" s="14">
        <f t="shared" si="4"/>
        <v>1.0003500000000001</v>
      </c>
      <c r="T58" s="23">
        <f>'System Parameters'!E9</f>
        <v>0</v>
      </c>
      <c r="U58" s="23">
        <f>'System Parameters'!F9</f>
        <v>0</v>
      </c>
      <c r="V58" s="23">
        <f>'System Parameters'!G9</f>
        <v>0</v>
      </c>
      <c r="W58" s="9">
        <f>'System Parameters'!H9</f>
        <v>0</v>
      </c>
    </row>
    <row r="59" spans="1:23" ht="15.75" customHeight="1" x14ac:dyDescent="0.15">
      <c r="A59" s="9">
        <f>'System Parameters'!A10</f>
        <v>0</v>
      </c>
      <c r="B59" s="9">
        <f>'System Parameters'!B10</f>
        <v>0</v>
      </c>
      <c r="C59" s="9">
        <f>'System Parameters'!C10</f>
        <v>0</v>
      </c>
      <c r="D59" s="9">
        <f t="shared" si="1"/>
        <v>0</v>
      </c>
      <c r="E59" s="9">
        <f t="shared" si="3"/>
        <v>0</v>
      </c>
      <c r="F59" s="9">
        <f t="shared" ref="F59:F76" si="5">$B59</f>
        <v>0</v>
      </c>
      <c r="G59" s="9">
        <f t="shared" si="4"/>
        <v>0</v>
      </c>
      <c r="H59" s="9">
        <f t="shared" si="4"/>
        <v>0</v>
      </c>
      <c r="I59" s="9">
        <f t="shared" si="4"/>
        <v>0</v>
      </c>
      <c r="J59" s="9">
        <f t="shared" si="4"/>
        <v>0</v>
      </c>
      <c r="K59" s="9">
        <f t="shared" si="4"/>
        <v>0</v>
      </c>
      <c r="L59" s="9">
        <f t="shared" si="4"/>
        <v>0</v>
      </c>
      <c r="M59" s="9">
        <f t="shared" si="4"/>
        <v>0</v>
      </c>
      <c r="N59" s="9">
        <f t="shared" si="4"/>
        <v>0</v>
      </c>
      <c r="O59" s="9">
        <f t="shared" si="4"/>
        <v>0</v>
      </c>
      <c r="T59" s="9">
        <f>'System Parameters'!E10</f>
        <v>0</v>
      </c>
      <c r="U59" s="9">
        <f>'System Parameters'!F10</f>
        <v>0</v>
      </c>
      <c r="V59" s="9">
        <f>'System Parameters'!G10</f>
        <v>0</v>
      </c>
      <c r="W59" s="9">
        <f>'System Parameters'!H10</f>
        <v>0</v>
      </c>
    </row>
    <row r="60" spans="1:23" ht="15.75" customHeight="1" x14ac:dyDescent="0.15">
      <c r="A60" s="9" t="str">
        <f>'System Parameters'!A11</f>
        <v>LED</v>
      </c>
      <c r="B60" s="9">
        <f>'System Parameters'!B11</f>
        <v>6.6</v>
      </c>
      <c r="C60" s="9">
        <f>'System Parameters'!C11</f>
        <v>0</v>
      </c>
      <c r="D60" s="9">
        <f t="shared" si="1"/>
        <v>6.6</v>
      </c>
      <c r="E60" s="9">
        <f t="shared" si="3"/>
        <v>6.6</v>
      </c>
      <c r="F60" s="9">
        <f t="shared" si="5"/>
        <v>6.6</v>
      </c>
      <c r="G60" s="9">
        <f t="shared" si="4"/>
        <v>6.6</v>
      </c>
      <c r="H60" s="9">
        <f t="shared" si="4"/>
        <v>6.6</v>
      </c>
      <c r="I60" s="9">
        <f t="shared" si="4"/>
        <v>6.6</v>
      </c>
      <c r="J60" s="9">
        <f t="shared" si="4"/>
        <v>6.6</v>
      </c>
      <c r="K60" s="9">
        <f t="shared" si="4"/>
        <v>6.6</v>
      </c>
      <c r="L60" s="9">
        <f t="shared" si="4"/>
        <v>6.6</v>
      </c>
      <c r="M60" s="9">
        <f t="shared" si="4"/>
        <v>6.6</v>
      </c>
      <c r="N60" s="9">
        <f t="shared" si="4"/>
        <v>6.6</v>
      </c>
      <c r="O60" s="9">
        <f t="shared" si="4"/>
        <v>6.6</v>
      </c>
      <c r="T60" s="9">
        <f>'System Parameters'!E11</f>
        <v>0.03</v>
      </c>
      <c r="U60" s="9">
        <f>'System Parameters'!F11</f>
        <v>0.05</v>
      </c>
      <c r="V60" s="9">
        <f>'System Parameters'!G11</f>
        <v>0</v>
      </c>
      <c r="W60" s="9">
        <f>'System Parameters'!H11</f>
        <v>0</v>
      </c>
    </row>
    <row r="61" spans="1:23" ht="15.75" customHeight="1" x14ac:dyDescent="0.15">
      <c r="A61" s="9" t="str">
        <f>'System Parameters'!A12</f>
        <v>On</v>
      </c>
      <c r="B61" s="14">
        <f>'System Parameters'!B12</f>
        <v>5.0004</v>
      </c>
      <c r="C61" s="9" t="str">
        <f>'System Parameters'!C12</f>
        <v>mW</v>
      </c>
      <c r="D61" s="14">
        <f t="shared" si="1"/>
        <v>5.0004</v>
      </c>
      <c r="E61" s="14">
        <f t="shared" si="3"/>
        <v>5.0004</v>
      </c>
      <c r="F61" s="14">
        <f t="shared" si="5"/>
        <v>5.0004</v>
      </c>
      <c r="G61" s="9">
        <f>$B61*0.9</f>
        <v>4.5003599999999997</v>
      </c>
      <c r="H61" s="14">
        <f t="shared" ref="H61:O64" si="6">$B61</f>
        <v>5.0004</v>
      </c>
      <c r="I61" s="14">
        <f t="shared" si="6"/>
        <v>5.0004</v>
      </c>
      <c r="J61" s="14">
        <f t="shared" si="6"/>
        <v>5.0004</v>
      </c>
      <c r="K61" s="14">
        <f t="shared" si="6"/>
        <v>5.0004</v>
      </c>
      <c r="L61" s="14">
        <f t="shared" si="6"/>
        <v>5.0004</v>
      </c>
      <c r="M61" s="14">
        <f t="shared" si="6"/>
        <v>5.0004</v>
      </c>
      <c r="N61" s="14">
        <f t="shared" si="6"/>
        <v>5.0004</v>
      </c>
      <c r="O61" s="14">
        <f t="shared" si="6"/>
        <v>5.0004</v>
      </c>
      <c r="T61" s="23">
        <f>'System Parameters'!E12</f>
        <v>0</v>
      </c>
      <c r="U61" s="23">
        <f>'System Parameters'!F12</f>
        <v>0</v>
      </c>
      <c r="V61" s="23">
        <f>'System Parameters'!G12</f>
        <v>0</v>
      </c>
      <c r="W61" s="9">
        <f>'System Parameters'!H12</f>
        <v>0</v>
      </c>
    </row>
    <row r="62" spans="1:23" ht="15.75" customHeight="1" x14ac:dyDescent="0.15">
      <c r="A62" s="9">
        <f>'System Parameters'!A13</f>
        <v>0</v>
      </c>
      <c r="B62" s="14">
        <f>'System Parameters'!B13</f>
        <v>0</v>
      </c>
      <c r="C62" s="9">
        <f>'System Parameters'!C13</f>
        <v>0</v>
      </c>
      <c r="D62" s="14">
        <f t="shared" si="1"/>
        <v>0</v>
      </c>
      <c r="E62" s="14">
        <f t="shared" si="3"/>
        <v>0</v>
      </c>
      <c r="F62" s="14">
        <f t="shared" si="5"/>
        <v>0</v>
      </c>
      <c r="G62" s="14">
        <f t="shared" ref="G62:G76" si="7">$B62</f>
        <v>0</v>
      </c>
      <c r="H62" s="14">
        <f t="shared" si="6"/>
        <v>0</v>
      </c>
      <c r="I62" s="14">
        <f t="shared" si="6"/>
        <v>0</v>
      </c>
      <c r="J62" s="14">
        <f t="shared" si="6"/>
        <v>0</v>
      </c>
      <c r="K62" s="14">
        <f t="shared" si="6"/>
        <v>0</v>
      </c>
      <c r="L62" s="14">
        <f t="shared" si="6"/>
        <v>0</v>
      </c>
      <c r="M62" s="14">
        <f t="shared" si="6"/>
        <v>0</v>
      </c>
      <c r="N62" s="14">
        <f t="shared" si="6"/>
        <v>0</v>
      </c>
      <c r="O62" s="14">
        <f t="shared" si="6"/>
        <v>0</v>
      </c>
      <c r="T62" s="9">
        <f>'System Parameters'!E13</f>
        <v>0</v>
      </c>
      <c r="U62" s="9">
        <f>'System Parameters'!F13</f>
        <v>0</v>
      </c>
      <c r="V62" s="9">
        <f>'System Parameters'!G13</f>
        <v>0</v>
      </c>
      <c r="W62" s="9">
        <f>'System Parameters'!H13</f>
        <v>0</v>
      </c>
    </row>
    <row r="63" spans="1:23" ht="15.75" customHeight="1" x14ac:dyDescent="0.15">
      <c r="A63" s="9">
        <f>'System Parameters'!A14</f>
        <v>0</v>
      </c>
      <c r="B63" s="14">
        <f>'System Parameters'!B14</f>
        <v>0</v>
      </c>
      <c r="C63" s="9">
        <f>'System Parameters'!C14</f>
        <v>0</v>
      </c>
      <c r="D63" s="14">
        <f t="shared" si="1"/>
        <v>0</v>
      </c>
      <c r="E63" s="14">
        <f t="shared" si="3"/>
        <v>0</v>
      </c>
      <c r="F63" s="14">
        <f t="shared" si="5"/>
        <v>0</v>
      </c>
      <c r="G63" s="14">
        <f t="shared" si="7"/>
        <v>0</v>
      </c>
      <c r="H63" s="14">
        <f t="shared" si="6"/>
        <v>0</v>
      </c>
      <c r="I63" s="14">
        <f t="shared" si="6"/>
        <v>0</v>
      </c>
      <c r="J63" s="14">
        <f t="shared" si="6"/>
        <v>0</v>
      </c>
      <c r="K63" s="14">
        <f t="shared" si="6"/>
        <v>0</v>
      </c>
      <c r="L63" s="14">
        <f t="shared" si="6"/>
        <v>0</v>
      </c>
      <c r="M63" s="14">
        <f t="shared" si="6"/>
        <v>0</v>
      </c>
      <c r="N63" s="14">
        <f t="shared" si="6"/>
        <v>0</v>
      </c>
      <c r="O63" s="14">
        <f t="shared" si="6"/>
        <v>0</v>
      </c>
      <c r="T63" s="9">
        <f>'System Parameters'!E14</f>
        <v>0</v>
      </c>
      <c r="U63" s="9">
        <f>'System Parameters'!F14</f>
        <v>0</v>
      </c>
      <c r="V63" s="9">
        <f>'System Parameters'!G14</f>
        <v>0</v>
      </c>
      <c r="W63" s="9">
        <f>'System Parameters'!H14</f>
        <v>0</v>
      </c>
    </row>
    <row r="64" spans="1:23" ht="15.75" customHeight="1" x14ac:dyDescent="0.15">
      <c r="A64" s="9" t="str">
        <f>'System Parameters'!A15</f>
        <v>Sensor</v>
      </c>
      <c r="B64" s="14">
        <f>'System Parameters'!B15</f>
        <v>57</v>
      </c>
      <c r="C64" s="9">
        <f>'System Parameters'!C15</f>
        <v>0</v>
      </c>
      <c r="D64" s="14">
        <f t="shared" si="1"/>
        <v>57</v>
      </c>
      <c r="E64" s="14">
        <f t="shared" si="3"/>
        <v>57</v>
      </c>
      <c r="F64" s="14">
        <f t="shared" si="5"/>
        <v>57</v>
      </c>
      <c r="G64" s="14">
        <f t="shared" si="7"/>
        <v>57</v>
      </c>
      <c r="H64" s="14">
        <f t="shared" si="6"/>
        <v>57</v>
      </c>
      <c r="I64" s="14">
        <f t="shared" si="6"/>
        <v>57</v>
      </c>
      <c r="J64" s="14">
        <f t="shared" si="6"/>
        <v>57</v>
      </c>
      <c r="K64" s="14">
        <f t="shared" si="6"/>
        <v>57</v>
      </c>
      <c r="L64" s="14">
        <f t="shared" si="6"/>
        <v>57</v>
      </c>
      <c r="M64" s="14">
        <f t="shared" si="6"/>
        <v>57</v>
      </c>
      <c r="N64" s="14">
        <f t="shared" si="6"/>
        <v>57</v>
      </c>
      <c r="O64" s="14">
        <f t="shared" si="6"/>
        <v>57</v>
      </c>
      <c r="T64" s="9">
        <f>'System Parameters'!E15</f>
        <v>0.05</v>
      </c>
      <c r="U64" s="9">
        <f>'System Parameters'!F15</f>
        <v>0.1</v>
      </c>
      <c r="V64" s="9">
        <f>'System Parameters'!G15</f>
        <v>0</v>
      </c>
      <c r="W64" s="9">
        <f>'System Parameters'!H15</f>
        <v>0</v>
      </c>
    </row>
    <row r="65" spans="1:23" ht="15.75" customHeight="1" x14ac:dyDescent="0.15">
      <c r="A65" s="9" t="str">
        <f>'System Parameters'!A16</f>
        <v>On</v>
      </c>
      <c r="B65" s="14">
        <f>'System Parameters'!B16</f>
        <v>0.03</v>
      </c>
      <c r="C65" s="9" t="str">
        <f>'System Parameters'!C16</f>
        <v>mW</v>
      </c>
      <c r="D65" s="14">
        <f t="shared" si="1"/>
        <v>0.03</v>
      </c>
      <c r="E65" s="14">
        <f t="shared" si="3"/>
        <v>0.03</v>
      </c>
      <c r="F65" s="14">
        <f t="shared" si="5"/>
        <v>0.03</v>
      </c>
      <c r="G65" s="14">
        <f t="shared" si="7"/>
        <v>0.03</v>
      </c>
      <c r="H65" s="9">
        <f>$B65*0.9</f>
        <v>2.7E-2</v>
      </c>
      <c r="I65" s="14">
        <f t="shared" ref="I65:O65" si="8">$B65</f>
        <v>0.03</v>
      </c>
      <c r="J65" s="14">
        <f t="shared" si="8"/>
        <v>0.03</v>
      </c>
      <c r="K65" s="14">
        <f t="shared" si="8"/>
        <v>0.03</v>
      </c>
      <c r="L65" s="14">
        <f t="shared" si="8"/>
        <v>0.03</v>
      </c>
      <c r="M65" s="14">
        <f t="shared" si="8"/>
        <v>0.03</v>
      </c>
      <c r="N65" s="14">
        <f t="shared" si="8"/>
        <v>0.03</v>
      </c>
      <c r="O65" s="14">
        <f t="shared" si="8"/>
        <v>0.03</v>
      </c>
      <c r="T65" s="23">
        <f>'System Parameters'!E16</f>
        <v>0.95</v>
      </c>
      <c r="U65" s="23">
        <f>'System Parameters'!F16</f>
        <v>0.9</v>
      </c>
      <c r="V65" s="23">
        <f>'System Parameters'!G16</f>
        <v>0</v>
      </c>
      <c r="W65" s="9">
        <f>'System Parameters'!H16</f>
        <v>0</v>
      </c>
    </row>
    <row r="66" spans="1:23" ht="15.75" customHeight="1" x14ac:dyDescent="0.15">
      <c r="A66" s="9" t="str">
        <f>'System Parameters'!A17</f>
        <v>Idle</v>
      </c>
      <c r="B66" s="14">
        <f>'System Parameters'!B17</f>
        <v>1E-3</v>
      </c>
      <c r="C66" s="9" t="str">
        <f>'System Parameters'!C17</f>
        <v>mW</v>
      </c>
      <c r="D66" s="14">
        <f t="shared" si="1"/>
        <v>1E-3</v>
      </c>
      <c r="E66" s="14">
        <f t="shared" si="3"/>
        <v>1E-3</v>
      </c>
      <c r="F66" s="14">
        <f t="shared" si="5"/>
        <v>1E-3</v>
      </c>
      <c r="G66" s="14">
        <f t="shared" si="7"/>
        <v>1E-3</v>
      </c>
      <c r="H66" s="14">
        <f t="shared" ref="H66:H76" si="9">$B66</f>
        <v>1E-3</v>
      </c>
      <c r="I66" s="9">
        <f>$B66*0.9</f>
        <v>9.0000000000000008E-4</v>
      </c>
      <c r="J66" s="14">
        <f t="shared" ref="J66:O66" si="10">$B66</f>
        <v>1E-3</v>
      </c>
      <c r="K66" s="14">
        <f t="shared" si="10"/>
        <v>1E-3</v>
      </c>
      <c r="L66" s="14">
        <f t="shared" si="10"/>
        <v>1E-3</v>
      </c>
      <c r="M66" s="14">
        <f t="shared" si="10"/>
        <v>1E-3</v>
      </c>
      <c r="N66" s="14">
        <f t="shared" si="10"/>
        <v>1E-3</v>
      </c>
      <c r="O66" s="14">
        <f t="shared" si="10"/>
        <v>1E-3</v>
      </c>
      <c r="T66" s="23">
        <f>'System Parameters'!E17</f>
        <v>0</v>
      </c>
      <c r="U66" s="23">
        <f>'System Parameters'!F17</f>
        <v>0</v>
      </c>
      <c r="V66" s="23">
        <f>'System Parameters'!G17</f>
        <v>0</v>
      </c>
      <c r="W66" s="9">
        <f>'System Parameters'!H17</f>
        <v>0</v>
      </c>
    </row>
    <row r="67" spans="1:23" ht="15.75" customHeight="1" x14ac:dyDescent="0.15">
      <c r="A67" s="9" t="str">
        <f>'System Parameters'!A18</f>
        <v>Off</v>
      </c>
      <c r="B67" s="14">
        <f>'System Parameters'!B18</f>
        <v>1.0004500000000001</v>
      </c>
      <c r="C67" s="9" t="str">
        <f>'System Parameters'!C18</f>
        <v>mW</v>
      </c>
      <c r="D67" s="14">
        <f t="shared" si="1"/>
        <v>1.0004500000000001</v>
      </c>
      <c r="E67" s="14">
        <f t="shared" si="3"/>
        <v>1.0004500000000001</v>
      </c>
      <c r="F67" s="14">
        <f t="shared" si="5"/>
        <v>1.0004500000000001</v>
      </c>
      <c r="G67" s="14">
        <f t="shared" si="7"/>
        <v>1.0004500000000001</v>
      </c>
      <c r="H67" s="14">
        <f t="shared" si="9"/>
        <v>1.0004500000000001</v>
      </c>
      <c r="I67" s="14">
        <f t="shared" ref="I67:I76" si="11">$B67</f>
        <v>1.0004500000000001</v>
      </c>
      <c r="J67" s="9">
        <f>$B67*0.9</f>
        <v>0.90040500000000012</v>
      </c>
      <c r="K67" s="14">
        <f t="shared" ref="K67:O69" si="12">$B67</f>
        <v>1.0004500000000001</v>
      </c>
      <c r="L67" s="14">
        <f t="shared" si="12"/>
        <v>1.0004500000000001</v>
      </c>
      <c r="M67" s="14">
        <f t="shared" si="12"/>
        <v>1.0004500000000001</v>
      </c>
      <c r="N67" s="14">
        <f t="shared" si="12"/>
        <v>1.0004500000000001</v>
      </c>
      <c r="O67" s="14">
        <f t="shared" si="12"/>
        <v>1.0004500000000001</v>
      </c>
      <c r="T67" s="23">
        <f>'System Parameters'!E18</f>
        <v>0</v>
      </c>
      <c r="U67" s="23">
        <f>'System Parameters'!F18</f>
        <v>0</v>
      </c>
      <c r="V67" s="23">
        <f>'System Parameters'!G18</f>
        <v>0</v>
      </c>
      <c r="W67" s="9">
        <f>'System Parameters'!H18</f>
        <v>0</v>
      </c>
    </row>
    <row r="68" spans="1:23" ht="15.75" customHeight="1" x14ac:dyDescent="0.15">
      <c r="A68" s="9">
        <f>'System Parameters'!A19</f>
        <v>0</v>
      </c>
      <c r="B68" s="14">
        <f>'System Parameters'!B19</f>
        <v>0</v>
      </c>
      <c r="C68" s="9">
        <f>'System Parameters'!C19</f>
        <v>0</v>
      </c>
      <c r="D68" s="14">
        <f t="shared" si="1"/>
        <v>0</v>
      </c>
      <c r="E68" s="14">
        <f t="shared" si="3"/>
        <v>0</v>
      </c>
      <c r="F68" s="14">
        <f t="shared" si="5"/>
        <v>0</v>
      </c>
      <c r="G68" s="14">
        <f t="shared" si="7"/>
        <v>0</v>
      </c>
      <c r="H68" s="14">
        <f t="shared" si="9"/>
        <v>0</v>
      </c>
      <c r="I68" s="14">
        <f t="shared" si="11"/>
        <v>0</v>
      </c>
      <c r="J68" s="14">
        <f t="shared" ref="J68:J76" si="13">$B68</f>
        <v>0</v>
      </c>
      <c r="K68" s="14">
        <f t="shared" si="12"/>
        <v>0</v>
      </c>
      <c r="L68" s="14">
        <f t="shared" si="12"/>
        <v>0</v>
      </c>
      <c r="M68" s="14">
        <f t="shared" si="12"/>
        <v>0</v>
      </c>
      <c r="N68" s="14">
        <f t="shared" si="12"/>
        <v>0</v>
      </c>
      <c r="O68" s="14">
        <f t="shared" si="12"/>
        <v>0</v>
      </c>
      <c r="T68" s="9">
        <f>'System Parameters'!E19</f>
        <v>0</v>
      </c>
      <c r="U68" s="9">
        <f>'System Parameters'!F19</f>
        <v>0</v>
      </c>
      <c r="V68" s="9">
        <f>'System Parameters'!G19</f>
        <v>0</v>
      </c>
      <c r="W68" s="9">
        <f>'System Parameters'!H19</f>
        <v>0</v>
      </c>
    </row>
    <row r="69" spans="1:23" ht="15.75" customHeight="1" x14ac:dyDescent="0.15">
      <c r="A69" s="9" t="str">
        <f>'System Parameters'!A20</f>
        <v>Display</v>
      </c>
      <c r="B69" s="14">
        <f>'System Parameters'!B20</f>
        <v>0</v>
      </c>
      <c r="C69" s="9">
        <f>'System Parameters'!C20</f>
        <v>0</v>
      </c>
      <c r="D69" s="14">
        <f t="shared" si="1"/>
        <v>0</v>
      </c>
      <c r="E69" s="14">
        <f t="shared" si="3"/>
        <v>0</v>
      </c>
      <c r="F69" s="14">
        <f t="shared" si="5"/>
        <v>0</v>
      </c>
      <c r="G69" s="14">
        <f t="shared" si="7"/>
        <v>0</v>
      </c>
      <c r="H69" s="14">
        <f t="shared" si="9"/>
        <v>0</v>
      </c>
      <c r="I69" s="14">
        <f t="shared" si="11"/>
        <v>0</v>
      </c>
      <c r="J69" s="14">
        <f t="shared" si="13"/>
        <v>0</v>
      </c>
      <c r="K69" s="14">
        <f t="shared" si="12"/>
        <v>0</v>
      </c>
      <c r="L69" s="14">
        <f t="shared" si="12"/>
        <v>0</v>
      </c>
      <c r="M69" s="14">
        <f t="shared" si="12"/>
        <v>0</v>
      </c>
      <c r="N69" s="14">
        <f t="shared" si="12"/>
        <v>0</v>
      </c>
      <c r="O69" s="14">
        <f t="shared" si="12"/>
        <v>0</v>
      </c>
      <c r="T69" s="9">
        <f>'System Parameters'!E20</f>
        <v>0</v>
      </c>
      <c r="U69" s="9">
        <f>'System Parameters'!F20</f>
        <v>0</v>
      </c>
      <c r="V69" s="9">
        <f>'System Parameters'!G20</f>
        <v>0</v>
      </c>
      <c r="W69" s="9">
        <f>'System Parameters'!H20</f>
        <v>0</v>
      </c>
    </row>
    <row r="70" spans="1:23" ht="15.75" customHeight="1" x14ac:dyDescent="0.15">
      <c r="A70" s="9" t="str">
        <f>'System Parameters'!A21</f>
        <v>On</v>
      </c>
      <c r="B70" s="14">
        <f>'System Parameters'!B21</f>
        <v>0</v>
      </c>
      <c r="C70" s="9" t="str">
        <f>'System Parameters'!C21</f>
        <v>mW</v>
      </c>
      <c r="D70" s="14">
        <f t="shared" si="1"/>
        <v>0</v>
      </c>
      <c r="E70" s="14">
        <f t="shared" si="3"/>
        <v>0</v>
      </c>
      <c r="F70" s="14">
        <f t="shared" si="5"/>
        <v>0</v>
      </c>
      <c r="G70" s="14">
        <f t="shared" si="7"/>
        <v>0</v>
      </c>
      <c r="H70" s="14">
        <f t="shared" si="9"/>
        <v>0</v>
      </c>
      <c r="I70" s="14">
        <f t="shared" si="11"/>
        <v>0</v>
      </c>
      <c r="J70" s="14">
        <f t="shared" si="13"/>
        <v>0</v>
      </c>
      <c r="K70" s="9">
        <f>$B70*0.9</f>
        <v>0</v>
      </c>
      <c r="L70" s="14">
        <f>$B70</f>
        <v>0</v>
      </c>
      <c r="M70" s="14">
        <f>$B70</f>
        <v>0</v>
      </c>
      <c r="N70" s="14">
        <f>$B70</f>
        <v>0</v>
      </c>
      <c r="O70" s="14">
        <f>$B70</f>
        <v>0</v>
      </c>
      <c r="T70" s="23">
        <f>'System Parameters'!E21</f>
        <v>0</v>
      </c>
      <c r="U70" s="23">
        <f>'System Parameters'!F21</f>
        <v>0</v>
      </c>
      <c r="V70" s="23">
        <f>'System Parameters'!G21</f>
        <v>0</v>
      </c>
      <c r="W70" s="9">
        <f>'System Parameters'!H21</f>
        <v>0</v>
      </c>
    </row>
    <row r="71" spans="1:23" ht="15.75" customHeight="1" x14ac:dyDescent="0.15">
      <c r="A71" s="9" t="str">
        <f>'System Parameters'!A22</f>
        <v>Off (leakage)</v>
      </c>
      <c r="B71" s="14">
        <f>'System Parameters'!B22</f>
        <v>1.0005999999999999</v>
      </c>
      <c r="C71" s="9" t="str">
        <f>'System Parameters'!C22</f>
        <v>mW</v>
      </c>
      <c r="D71" s="14">
        <f t="shared" si="1"/>
        <v>1.0005999999999999</v>
      </c>
      <c r="E71" s="14">
        <f t="shared" si="3"/>
        <v>1.0005999999999999</v>
      </c>
      <c r="F71" s="14">
        <f t="shared" si="5"/>
        <v>1.0005999999999999</v>
      </c>
      <c r="G71" s="14">
        <f t="shared" si="7"/>
        <v>1.0005999999999999</v>
      </c>
      <c r="H71" s="14">
        <f t="shared" si="9"/>
        <v>1.0005999999999999</v>
      </c>
      <c r="I71" s="14">
        <f t="shared" si="11"/>
        <v>1.0005999999999999</v>
      </c>
      <c r="J71" s="14">
        <f t="shared" si="13"/>
        <v>1.0005999999999999</v>
      </c>
      <c r="K71" s="14">
        <f t="shared" ref="K71:K76" si="14">$B71</f>
        <v>1.0005999999999999</v>
      </c>
      <c r="L71" s="9">
        <f>$B71*0.9</f>
        <v>0.90054000000000001</v>
      </c>
      <c r="M71" s="14">
        <f t="shared" ref="M71:O73" si="15">$B71</f>
        <v>1.0005999999999999</v>
      </c>
      <c r="N71" s="14">
        <f t="shared" si="15"/>
        <v>1.0005999999999999</v>
      </c>
      <c r="O71" s="14">
        <f t="shared" si="15"/>
        <v>1.0005999999999999</v>
      </c>
      <c r="T71" s="23">
        <f>'System Parameters'!E22</f>
        <v>0</v>
      </c>
      <c r="U71" s="23">
        <f>'System Parameters'!F22</f>
        <v>0</v>
      </c>
      <c r="V71" s="23">
        <f>'System Parameters'!G22</f>
        <v>0</v>
      </c>
      <c r="W71" s="9">
        <f>'System Parameters'!H22</f>
        <v>0</v>
      </c>
    </row>
    <row r="72" spans="1:23" ht="15.75" customHeight="1" x14ac:dyDescent="0.15">
      <c r="A72" s="9">
        <f>'System Parameters'!A23</f>
        <v>0</v>
      </c>
      <c r="B72" s="9">
        <f>'System Parameters'!B23</f>
        <v>0</v>
      </c>
      <c r="C72" s="9">
        <f>'System Parameters'!C23</f>
        <v>0</v>
      </c>
      <c r="D72" s="9">
        <f t="shared" si="1"/>
        <v>0</v>
      </c>
      <c r="E72" s="9">
        <f t="shared" si="3"/>
        <v>0</v>
      </c>
      <c r="F72" s="9">
        <f t="shared" si="5"/>
        <v>0</v>
      </c>
      <c r="G72" s="9">
        <f t="shared" si="7"/>
        <v>0</v>
      </c>
      <c r="H72" s="9">
        <f t="shared" si="9"/>
        <v>0</v>
      </c>
      <c r="I72" s="9">
        <f t="shared" si="11"/>
        <v>0</v>
      </c>
      <c r="J72" s="9">
        <f t="shared" si="13"/>
        <v>0</v>
      </c>
      <c r="K72" s="9">
        <f t="shared" si="14"/>
        <v>0</v>
      </c>
      <c r="L72" s="9">
        <f>$B72</f>
        <v>0</v>
      </c>
      <c r="M72" s="9">
        <f t="shared" si="15"/>
        <v>0</v>
      </c>
      <c r="N72" s="9">
        <f t="shared" si="15"/>
        <v>0</v>
      </c>
      <c r="O72" s="9">
        <f t="shared" si="15"/>
        <v>0</v>
      </c>
      <c r="T72" s="9">
        <f>'System Parameters'!E23</f>
        <v>0</v>
      </c>
      <c r="U72" s="9">
        <f>'System Parameters'!F23</f>
        <v>0</v>
      </c>
      <c r="V72" s="9">
        <f>'System Parameters'!G23</f>
        <v>0</v>
      </c>
      <c r="W72" s="9">
        <f>'System Parameters'!H23</f>
        <v>0</v>
      </c>
    </row>
    <row r="73" spans="1:23" ht="15.75" customHeight="1" x14ac:dyDescent="0.15">
      <c r="A73" s="9" t="str">
        <f>'System Parameters'!A24</f>
        <v>Radio</v>
      </c>
      <c r="B73" s="9">
        <f>'System Parameters'!B24</f>
        <v>0</v>
      </c>
      <c r="C73" s="9">
        <f>'System Parameters'!C24</f>
        <v>0</v>
      </c>
      <c r="D73" s="9">
        <f t="shared" si="1"/>
        <v>0</v>
      </c>
      <c r="E73" s="9">
        <f t="shared" si="3"/>
        <v>0</v>
      </c>
      <c r="F73" s="9">
        <f t="shared" si="5"/>
        <v>0</v>
      </c>
      <c r="G73" s="9">
        <f t="shared" si="7"/>
        <v>0</v>
      </c>
      <c r="H73" s="9">
        <f t="shared" si="9"/>
        <v>0</v>
      </c>
      <c r="I73" s="9">
        <f t="shared" si="11"/>
        <v>0</v>
      </c>
      <c r="J73" s="9">
        <f t="shared" si="13"/>
        <v>0</v>
      </c>
      <c r="K73" s="9">
        <f t="shared" si="14"/>
        <v>0</v>
      </c>
      <c r="L73" s="9">
        <f>$B73</f>
        <v>0</v>
      </c>
      <c r="M73" s="9">
        <f t="shared" si="15"/>
        <v>0</v>
      </c>
      <c r="N73" s="9">
        <f t="shared" si="15"/>
        <v>0</v>
      </c>
      <c r="O73" s="9">
        <f t="shared" si="15"/>
        <v>0</v>
      </c>
      <c r="T73" s="9">
        <f>'System Parameters'!E24</f>
        <v>0</v>
      </c>
      <c r="U73" s="9">
        <f>'System Parameters'!F24</f>
        <v>0</v>
      </c>
      <c r="V73" s="9">
        <f>'System Parameters'!G24</f>
        <v>0</v>
      </c>
      <c r="W73" s="9">
        <f>'System Parameters'!H24</f>
        <v>0</v>
      </c>
    </row>
    <row r="74" spans="1:23" ht="15.75" customHeight="1" x14ac:dyDescent="0.15">
      <c r="A74" s="9" t="str">
        <f>'System Parameters'!A26</f>
        <v>Standby Power</v>
      </c>
      <c r="B74" s="14">
        <f>'System Parameters'!B26</f>
        <v>1200</v>
      </c>
      <c r="C74" s="9" t="str">
        <f>'System Parameters'!C26</f>
        <v>mW</v>
      </c>
      <c r="D74" s="14">
        <f t="shared" si="1"/>
        <v>1200</v>
      </c>
      <c r="E74" s="14">
        <f t="shared" si="3"/>
        <v>1200</v>
      </c>
      <c r="F74" s="14">
        <f t="shared" si="5"/>
        <v>1200</v>
      </c>
      <c r="G74" s="14">
        <f t="shared" si="7"/>
        <v>1200</v>
      </c>
      <c r="H74" s="14">
        <f t="shared" si="9"/>
        <v>1200</v>
      </c>
      <c r="I74" s="14">
        <f t="shared" si="11"/>
        <v>1200</v>
      </c>
      <c r="J74" s="14">
        <f t="shared" si="13"/>
        <v>1200</v>
      </c>
      <c r="K74" s="14">
        <f t="shared" si="14"/>
        <v>1200</v>
      </c>
      <c r="L74" s="14">
        <f>$B74</f>
        <v>1200</v>
      </c>
      <c r="M74" s="9">
        <f>$B74*0.9</f>
        <v>1080</v>
      </c>
      <c r="N74" s="14">
        <f>$B74</f>
        <v>1200</v>
      </c>
      <c r="O74" s="14">
        <f>$B74</f>
        <v>1200</v>
      </c>
      <c r="T74" s="23">
        <f>'System Parameters'!E26</f>
        <v>0</v>
      </c>
      <c r="U74" s="23">
        <f>'System Parameters'!F26</f>
        <v>0.1</v>
      </c>
      <c r="V74" s="23">
        <f>'System Parameters'!G26</f>
        <v>0</v>
      </c>
      <c r="W74" s="9">
        <f>'System Parameters'!H26</f>
        <v>0</v>
      </c>
    </row>
    <row r="75" spans="1:23" ht="15.75" customHeight="1" x14ac:dyDescent="0.15">
      <c r="A75" s="9" t="str">
        <f>'System Parameters'!A27</f>
        <v>TX Power</v>
      </c>
      <c r="B75" s="14">
        <f>'System Parameters'!B27</f>
        <v>0</v>
      </c>
      <c r="C75" s="9" t="str">
        <f>'System Parameters'!C27</f>
        <v>mW</v>
      </c>
      <c r="D75" s="14">
        <f t="shared" si="1"/>
        <v>0</v>
      </c>
      <c r="E75" s="14">
        <f t="shared" si="3"/>
        <v>0</v>
      </c>
      <c r="F75" s="14">
        <f t="shared" si="5"/>
        <v>0</v>
      </c>
      <c r="G75" s="14">
        <f t="shared" si="7"/>
        <v>0</v>
      </c>
      <c r="H75" s="14">
        <f t="shared" si="9"/>
        <v>0</v>
      </c>
      <c r="I75" s="14">
        <f t="shared" si="11"/>
        <v>0</v>
      </c>
      <c r="J75" s="14">
        <f t="shared" si="13"/>
        <v>0</v>
      </c>
      <c r="K75" s="14">
        <f t="shared" si="14"/>
        <v>0</v>
      </c>
      <c r="L75" s="14">
        <f>$B75</f>
        <v>0</v>
      </c>
      <c r="M75" s="14">
        <f>$B75</f>
        <v>0</v>
      </c>
      <c r="N75" s="9">
        <f>$B75*0.9</f>
        <v>0</v>
      </c>
      <c r="O75" s="14">
        <f>$B75</f>
        <v>0</v>
      </c>
      <c r="T75" s="23">
        <f>'System Parameters'!E27</f>
        <v>0</v>
      </c>
      <c r="U75" s="23">
        <f>'System Parameters'!F27</f>
        <v>0</v>
      </c>
      <c r="V75" s="23">
        <f>'System Parameters'!G27</f>
        <v>0</v>
      </c>
      <c r="W75" s="9">
        <f>'System Parameters'!H27</f>
        <v>0</v>
      </c>
    </row>
    <row r="76" spans="1:23" ht="15.75" customHeight="1" x14ac:dyDescent="0.15">
      <c r="A76" s="9" t="str">
        <f>'System Parameters'!A28</f>
        <v>RX Power</v>
      </c>
      <c r="B76" s="14">
        <f>'System Parameters'!B28</f>
        <v>10.000000999999999</v>
      </c>
      <c r="C76" s="9" t="str">
        <f>'System Parameters'!C28</f>
        <v>mW</v>
      </c>
      <c r="D76" s="14">
        <f t="shared" si="1"/>
        <v>10.000000999999999</v>
      </c>
      <c r="E76" s="14">
        <f t="shared" si="3"/>
        <v>10.000000999999999</v>
      </c>
      <c r="F76" s="14">
        <f t="shared" si="5"/>
        <v>10.000000999999999</v>
      </c>
      <c r="G76" s="14">
        <f t="shared" si="7"/>
        <v>10.000000999999999</v>
      </c>
      <c r="H76" s="14">
        <f t="shared" si="9"/>
        <v>10.000000999999999</v>
      </c>
      <c r="I76" s="14">
        <f t="shared" si="11"/>
        <v>10.000000999999999</v>
      </c>
      <c r="J76" s="14">
        <f t="shared" si="13"/>
        <v>10.000000999999999</v>
      </c>
      <c r="K76" s="14">
        <f t="shared" si="14"/>
        <v>10.000000999999999</v>
      </c>
      <c r="L76" s="14">
        <f>$B76</f>
        <v>10.000000999999999</v>
      </c>
      <c r="M76" s="14">
        <f>$B76</f>
        <v>10.000000999999999</v>
      </c>
      <c r="N76" s="14">
        <f>$B76</f>
        <v>10.000000999999999</v>
      </c>
      <c r="O76" s="9">
        <f>$B76*0.9</f>
        <v>9.0000008999999999</v>
      </c>
      <c r="T76" s="23">
        <f>'System Parameters'!E28</f>
        <v>0</v>
      </c>
      <c r="U76" s="23">
        <f>'System Parameters'!F28</f>
        <v>0</v>
      </c>
      <c r="V76" s="23">
        <f>'System Parameters'!G28</f>
        <v>0</v>
      </c>
      <c r="W76" s="9">
        <f>'System Parameters'!H28</f>
        <v>0</v>
      </c>
    </row>
    <row r="77" spans="1:23" ht="15.75" customHeight="1" x14ac:dyDescent="0.15">
      <c r="A77" s="9">
        <f>'System Parameters'!A29</f>
        <v>0</v>
      </c>
      <c r="B77" s="9">
        <f>'System Parameters'!B29</f>
        <v>0</v>
      </c>
      <c r="C77" s="9">
        <f>'System Parameters'!C29</f>
        <v>0</v>
      </c>
      <c r="D77" s="9">
        <f>'System Parameters'!D29</f>
        <v>16</v>
      </c>
      <c r="T77" s="9">
        <f>'System Parameters'!E29</f>
        <v>7</v>
      </c>
      <c r="U77" s="9">
        <f>'System Parameters'!F29</f>
        <v>1</v>
      </c>
      <c r="V77" s="9">
        <f>'System Parameters'!G29</f>
        <v>0</v>
      </c>
      <c r="W77" s="9">
        <f>'System Parameters'!H29</f>
        <v>0</v>
      </c>
    </row>
    <row r="78" spans="1:23" ht="15.75" customHeight="1" x14ac:dyDescent="0.15">
      <c r="A78" s="9">
        <f>'System Parameters'!A30</f>
        <v>0</v>
      </c>
      <c r="B78" s="9">
        <f>'System Parameters'!B30</f>
        <v>0</v>
      </c>
      <c r="C78" s="9">
        <f>'System Parameters'!C30</f>
        <v>0</v>
      </c>
      <c r="D78" s="9">
        <f>'System Parameters'!D30</f>
        <v>0</v>
      </c>
      <c r="T78" s="9">
        <f>'System Parameters'!E30</f>
        <v>16</v>
      </c>
      <c r="U78" s="9">
        <f>'System Parameters'!F30</f>
        <v>7</v>
      </c>
      <c r="V78" s="9">
        <f>'System Parameters'!G30</f>
        <v>1</v>
      </c>
      <c r="W78" s="9" t="str">
        <f>'System Parameters'!H30</f>
        <v>hours/day typical usage</v>
      </c>
    </row>
    <row r="79" spans="1:23" ht="15.75" customHeight="1" x14ac:dyDescent="0.15">
      <c r="A79" s="9" t="str">
        <f>'System Parameters'!A31</f>
        <v>Battery</v>
      </c>
      <c r="B79" s="9">
        <f>'System Parameters'!B31</f>
        <v>2000</v>
      </c>
      <c r="C79" s="9">
        <f>'System Parameters'!C31</f>
        <v>0</v>
      </c>
      <c r="D79" s="9">
        <f>'System Parameters'!D31</f>
        <v>0</v>
      </c>
      <c r="T79" s="9">
        <f>'System Parameters'!E31</f>
        <v>0</v>
      </c>
      <c r="U79" s="9">
        <f>'System Parameters'!F31</f>
        <v>0</v>
      </c>
      <c r="V79" s="9">
        <f>'System Parameters'!G31</f>
        <v>0</v>
      </c>
      <c r="W79" s="9">
        <f>'System Parameters'!H31</f>
        <v>0</v>
      </c>
    </row>
    <row r="80" spans="1:23" ht="15.75" customHeight="1" x14ac:dyDescent="0.15">
      <c r="A80" s="9" t="str">
        <f>'System Parameters'!A32</f>
        <v>Capacity</v>
      </c>
      <c r="B80" s="14">
        <f>'System Parameters'!B32</f>
        <v>3.7</v>
      </c>
      <c r="C80" s="9" t="str">
        <f>'System Parameters'!C32</f>
        <v>mAh</v>
      </c>
      <c r="D80" s="9">
        <f>'System Parameters'!D32</f>
        <v>0</v>
      </c>
      <c r="T80" s="9">
        <f>'System Parameters'!E32</f>
        <v>0</v>
      </c>
      <c r="U80" s="9">
        <f>'System Parameters'!F32</f>
        <v>0</v>
      </c>
      <c r="V80" s="9">
        <f>'System Parameters'!G32</f>
        <v>0</v>
      </c>
      <c r="W80" s="9">
        <f>'System Parameters'!H32</f>
        <v>0</v>
      </c>
    </row>
    <row r="81" spans="1:23" ht="15.75" customHeight="1" x14ac:dyDescent="0.15">
      <c r="A81" s="9" t="str">
        <f>'System Parameters'!A33</f>
        <v>Nominal Voltage</v>
      </c>
      <c r="B81" s="14">
        <f>'System Parameters'!B33</f>
        <v>0.85</v>
      </c>
      <c r="C81" s="9" t="str">
        <f>'System Parameters'!C33</f>
        <v>V</v>
      </c>
      <c r="D81" s="9">
        <f>'System Parameters'!D33</f>
        <v>0</v>
      </c>
      <c r="T81" s="9">
        <f>'System Parameters'!E33</f>
        <v>0</v>
      </c>
      <c r="U81" s="9">
        <f>'System Parameters'!F33</f>
        <v>0</v>
      </c>
      <c r="V81" s="9">
        <f>'System Parameters'!G33</f>
        <v>0</v>
      </c>
      <c r="W81" s="9">
        <f>'System Parameters'!H33</f>
        <v>0</v>
      </c>
    </row>
    <row r="82" spans="1:23" ht="15.75" customHeight="1" x14ac:dyDescent="0.15">
      <c r="A82" s="9" t="str">
        <f>'System Parameters'!A34</f>
        <v>Regulator Efficiency</v>
      </c>
      <c r="B82" s="23">
        <f>'System Parameters'!B34</f>
        <v>0.99</v>
      </c>
      <c r="C82" s="9">
        <f>'System Parameters'!C34</f>
        <v>0</v>
      </c>
      <c r="D82" s="9">
        <f>'System Parameters'!D34</f>
        <v>0</v>
      </c>
      <c r="T82" s="9">
        <f>'System Parameters'!E34</f>
        <v>0</v>
      </c>
      <c r="U82" s="9">
        <f>'System Parameters'!F34</f>
        <v>0</v>
      </c>
      <c r="V82" s="9">
        <f>'System Parameters'!G34</f>
        <v>0</v>
      </c>
      <c r="W82" s="9">
        <f>'System Parameters'!H34</f>
        <v>0</v>
      </c>
    </row>
    <row r="83" spans="1:23" ht="15.75" customHeight="1" x14ac:dyDescent="0.15">
      <c r="A83" s="9">
        <f>'System Parameters'!A35</f>
        <v>0</v>
      </c>
      <c r="B83" s="9">
        <f>'System Parameters'!B35</f>
        <v>0</v>
      </c>
      <c r="C83" s="9">
        <f>'System Parameters'!C35</f>
        <v>0</v>
      </c>
      <c r="D83" s="9">
        <f>'System Parameters'!D35</f>
        <v>0</v>
      </c>
      <c r="O83" s="9">
        <f>'System Parameters'!E35</f>
        <v>0</v>
      </c>
      <c r="P83" s="9">
        <f>'System Parameters'!F35</f>
        <v>0</v>
      </c>
      <c r="Q83" s="9">
        <f>'System Parameters'!G35</f>
        <v>0</v>
      </c>
      <c r="R83" s="9">
        <f>'System Parameters'!H35</f>
        <v>0</v>
      </c>
      <c r="S83" s="9">
        <f>'System Parameters'!I35</f>
        <v>0</v>
      </c>
      <c r="T83" s="9">
        <f>'System Parameters'!J35</f>
        <v>0</v>
      </c>
      <c r="U83" s="9" t="e">
        <f>#REF!</f>
        <v>#REF!</v>
      </c>
      <c r="V83" s="9" t="e">
        <f>#REF!</f>
        <v>#REF!</v>
      </c>
    </row>
    <row r="84" spans="1:23" ht="15.75" customHeight="1" x14ac:dyDescent="0.15">
      <c r="A84" s="9">
        <f>'System Parameters'!A36</f>
        <v>0</v>
      </c>
      <c r="B84" s="9">
        <f>'System Parameters'!B36</f>
        <v>0</v>
      </c>
      <c r="C84" s="9">
        <f>'System Parameters'!C36</f>
        <v>0</v>
      </c>
      <c r="D84" s="9">
        <f>'System Parameters'!D36</f>
        <v>0</v>
      </c>
      <c r="O84" s="9">
        <f>'System Parameters'!E36</f>
        <v>0</v>
      </c>
      <c r="P84" s="9">
        <f>'System Parameters'!F36</f>
        <v>0</v>
      </c>
      <c r="Q84" s="9">
        <f>'System Parameters'!G36</f>
        <v>0</v>
      </c>
      <c r="R84" s="9">
        <f>'System Parameters'!H36</f>
        <v>0</v>
      </c>
      <c r="S84" s="9">
        <f>'System Parameters'!I36</f>
        <v>0</v>
      </c>
      <c r="T84" s="9">
        <f>'System Parameters'!J36</f>
        <v>0</v>
      </c>
      <c r="U84" s="9" t="e">
        <f>#REF!</f>
        <v>#REF!</v>
      </c>
      <c r="V84" s="9" t="e">
        <f>#REF!</f>
        <v>#REF!</v>
      </c>
    </row>
    <row r="85" spans="1:23" ht="15.75" customHeight="1" x14ac:dyDescent="0.15">
      <c r="A85" s="9" t="str">
        <f>'System Parameters'!A39</f>
        <v xml:space="preserve">REFLECTIONS: 
1. How did I determine the "days of use" metric?
My Screen Usage Load Meter is a desktop device that tracks computer usage time throughout the day. I determined that a 1-day runtime (requiring daily charging) is the optimal target because: (a) The device follows my computer's usage pattern - when I use my computer (typically 8 hours per day), the device actively monitors usage; when the computer is off, the device enters deep sleep. (b) Daily charging aligns naturally with my routine - I can charge it overnight just like my phone, ensuring it's always ready for the next day. (c) The calculated 2-day runtime with a 2000mAh battery provides a comfortable safety margin. Even if I forget to charge one night, the device will still function the next day. This margin also accounts for battery degradation over time and temperature effects that can reduce capacity by 10-20% in real-world conditions.
2. What is the optimum battery size?
The optimum battery is 2000mAh LiPo (3.7V, ~$13, 35g). Here's why: A 1000mAh battery would provide only 1 day of runtime with no margin for error, making it risky. The 2000mAh battery provides 2 days of runtime, giving me flexibility and safety buffer. A 3000mAh battery would provide 3 days (unnecessary for a desk device) and adds extra weight and cost ($18, 50g). The 2000mAh hits the sweet spot - reliable 1+ day operation, affordable, and compact enough for desktop use. The stepper motor's holding current (350mW) dominates power consumption, but this is necessary for the device's function as a physical display. If I used a larger battery to avoid daily charging, I'd still need to check the device daily anyway to see the usage meter, so daily charging doesn't add inconvenience.
3. What hardware/software/cost/effort tradeoffs could improve the user experience?
Highest ROI: Reduce motor holding time - currently the motor holds position continuously (350mW for 7 hours = 2450mW·h daily). By only energizing the motor when actively displaying or when user approaches (detected by distance sensor), I could reduce this by 50-70%, extending runtime from 2 to 3-4 days. Implementation: simple software change (1-2 hours). Cost: $0. Medium ROI: Reduce sensor polling frequency from 1 minute to 2 minutes. This halves sensor active time, saving ~28mW average (about 10% total consumption). Still provides adequate resolution for usage tracking. Implementation: change one constant in code (5 minutes). Cost: $0. Low ROI: Add solar panel ($15, 3 hours effort). A small 5V 100mA panel could provide ~500mW during daylight, extending runtime significantly for window-mounted installations. However, my device sits on desk without direct sunlight, making this impractical. Not worth the added complexity. Smart choice: Implement both motor optimization and sensor frequency reduction. Combined, these save ~40% power consumption, extending the 2000mAh battery runtime from 2 to 3.3 days with minimal effort and zero cost.
</v>
      </c>
      <c r="B85" s="9">
        <f>'System Parameters'!K24</f>
        <v>0</v>
      </c>
      <c r="C85" s="9">
        <f>'System Parameters'!L24</f>
        <v>0</v>
      </c>
      <c r="D85" s="9">
        <f>'System Parameters'!M24</f>
        <v>0</v>
      </c>
      <c r="O85" s="9">
        <f>'System Parameters'!N24</f>
        <v>0</v>
      </c>
      <c r="P85" s="9">
        <f>'System Parameters'!O24</f>
        <v>0</v>
      </c>
      <c r="Q85" s="9">
        <f>'System Parameters'!P24</f>
        <v>0</v>
      </c>
      <c r="R85" s="9">
        <f>'System Parameters'!Q24</f>
        <v>0</v>
      </c>
      <c r="S85" s="9">
        <f>'System Parameters'!I37</f>
        <v>0</v>
      </c>
      <c r="T85" s="9">
        <f>'System Parameters'!J37</f>
        <v>0</v>
      </c>
      <c r="U85" s="9" t="e">
        <f>#REF!</f>
        <v>#REF!</v>
      </c>
      <c r="V85" s="9" t="e">
        <f>#REF!</f>
        <v>#REF!</v>
      </c>
    </row>
    <row r="86" spans="1:23" ht="15.75" customHeight="1" x14ac:dyDescent="0.15">
      <c r="A86" s="9" t="str">
        <f>'System Parameters'!A38</f>
        <v xml:space="preserve">REFLECTIONS : WHAT DID YOU LEARN FROM ANALYZING YOUR POWER.  TALK ABOUT SOME POTENTIAL TRADEOFFS. </v>
      </c>
      <c r="B86" s="9">
        <f>'System Parameters'!K25</f>
        <v>0</v>
      </c>
      <c r="C86" s="9" t="e">
        <f>#REF!</f>
        <v>#REF!</v>
      </c>
      <c r="D86" s="9" t="e">
        <f>#REF!</f>
        <v>#REF!</v>
      </c>
      <c r="O86" s="9" t="e">
        <f>#REF!</f>
        <v>#REF!</v>
      </c>
      <c r="P86" s="9" t="e">
        <f>#REF!</f>
        <v>#REF!</v>
      </c>
      <c r="Q86" s="9" t="e">
        <f>#REF!</f>
        <v>#REF!</v>
      </c>
      <c r="R86" s="9">
        <f>'System Parameters'!Q25</f>
        <v>0</v>
      </c>
      <c r="S86" s="9">
        <f>'System Parameters'!I38</f>
        <v>0</v>
      </c>
      <c r="T86" s="9">
        <f>'System Parameters'!J38</f>
        <v>0</v>
      </c>
      <c r="U86" s="9" t="e">
        <f>#REF!</f>
        <v>#REF!</v>
      </c>
      <c r="V86" s="9" t="e">
        <f>#REF!</f>
        <v>#REF!</v>
      </c>
    </row>
    <row r="87" spans="1:23" ht="15.75" customHeight="1" x14ac:dyDescent="0.15">
      <c r="A87" s="9" t="str">
        <f>'System Parameters'!L25</f>
        <v>Total power in profile (mw)</v>
      </c>
      <c r="B87" s="9">
        <f>'System Parameters'!M25</f>
        <v>0</v>
      </c>
      <c r="C87" s="9">
        <f>'System Parameters'!N25</f>
        <v>0</v>
      </c>
      <c r="R87" s="9">
        <f>'System Parameters'!Q26</f>
        <v>0</v>
      </c>
      <c r="S87" s="9">
        <f>'System Parameters'!I39</f>
        <v>0</v>
      </c>
      <c r="T87" s="9">
        <f>'System Parameters'!J39</f>
        <v>0</v>
      </c>
      <c r="U87" s="9">
        <f>'System Parameters'!K39</f>
        <v>0</v>
      </c>
      <c r="V87" s="9">
        <f>'System Parameters'!L39</f>
        <v>0</v>
      </c>
    </row>
    <row r="88" spans="1:23" ht="15.75" customHeight="1" x14ac:dyDescent="0.15">
      <c r="A88" s="9" t="str">
        <f>'System Parameters'!L26</f>
        <v>"off"</v>
      </c>
      <c r="B88" s="9">
        <f>SUMPRODUCT(B56:B76, $T56:$T76)</f>
        <v>15.2865</v>
      </c>
      <c r="C88" s="9" t="str">
        <f>'System Parameters'!N26</f>
        <v>mW</v>
      </c>
      <c r="D88" s="9">
        <f t="shared" ref="D88:O88" si="16">SUMPRODUCT(D56:D76, $T56:$T76)</f>
        <v>14.086500000000001</v>
      </c>
      <c r="E88" s="9">
        <f t="shared" si="16"/>
        <v>15.265499999999999</v>
      </c>
      <c r="F88" s="9">
        <f t="shared" si="16"/>
        <v>15.2865</v>
      </c>
      <c r="G88" s="9">
        <f t="shared" si="16"/>
        <v>15.2865</v>
      </c>
      <c r="H88" s="9">
        <f t="shared" si="16"/>
        <v>15.283650000000002</v>
      </c>
      <c r="I88" s="9">
        <f t="shared" si="16"/>
        <v>15.2865</v>
      </c>
      <c r="J88" s="9">
        <f t="shared" si="16"/>
        <v>15.2865</v>
      </c>
      <c r="K88" s="9">
        <f t="shared" si="16"/>
        <v>15.2865</v>
      </c>
      <c r="L88" s="9">
        <f t="shared" si="16"/>
        <v>15.2865</v>
      </c>
      <c r="M88" s="9">
        <f t="shared" si="16"/>
        <v>15.2865</v>
      </c>
      <c r="N88" s="9">
        <f t="shared" si="16"/>
        <v>15.2865</v>
      </c>
      <c r="O88" s="9">
        <f t="shared" si="16"/>
        <v>15.2865</v>
      </c>
      <c r="R88" s="9">
        <f>'System Parameters'!Q27</f>
        <v>0</v>
      </c>
      <c r="S88" s="9">
        <f>'System Parameters'!I40</f>
        <v>0</v>
      </c>
      <c r="T88" s="9">
        <f>'System Parameters'!J40</f>
        <v>0</v>
      </c>
      <c r="U88" s="9">
        <f>'System Parameters'!K40</f>
        <v>0</v>
      </c>
      <c r="V88" s="9">
        <f>'System Parameters'!L40</f>
        <v>0</v>
      </c>
    </row>
    <row r="89" spans="1:23" ht="15.75" customHeight="1" x14ac:dyDescent="0.15">
      <c r="A89" s="9" t="str">
        <f>'System Parameters'!L27</f>
        <v>"sensing"</v>
      </c>
      <c r="B89" s="9">
        <f>SUMPRODUCT(B56:B76,$U56:$U76)</f>
        <v>144.22499999999999</v>
      </c>
      <c r="C89" s="9" t="str">
        <f>'System Parameters'!N27</f>
        <v>mW</v>
      </c>
      <c r="D89" s="9">
        <f t="shared" ref="D89:O89" si="17">SUMPRODUCT(D56:D76,$U56:$U76)</f>
        <v>142.42500000000001</v>
      </c>
      <c r="E89" s="9">
        <f t="shared" si="17"/>
        <v>144.20820000000001</v>
      </c>
      <c r="F89" s="9">
        <f t="shared" si="17"/>
        <v>144.22499999999999</v>
      </c>
      <c r="G89" s="9">
        <f t="shared" si="17"/>
        <v>144.22499999999999</v>
      </c>
      <c r="H89" s="9">
        <f t="shared" si="17"/>
        <v>144.22229999999999</v>
      </c>
      <c r="I89" s="9">
        <f t="shared" si="17"/>
        <v>144.22499999999999</v>
      </c>
      <c r="J89" s="9">
        <f t="shared" si="17"/>
        <v>144.22499999999999</v>
      </c>
      <c r="K89" s="9">
        <f t="shared" si="17"/>
        <v>144.22499999999999</v>
      </c>
      <c r="L89" s="9">
        <f t="shared" si="17"/>
        <v>144.22499999999999</v>
      </c>
      <c r="M89" s="9">
        <f t="shared" si="17"/>
        <v>132.22499999999999</v>
      </c>
      <c r="N89" s="9">
        <f t="shared" si="17"/>
        <v>144.22499999999999</v>
      </c>
      <c r="O89" s="9">
        <f t="shared" si="17"/>
        <v>144.22499999999999</v>
      </c>
      <c r="R89" s="9">
        <f>'System Parameters'!Q28</f>
        <v>0</v>
      </c>
      <c r="S89" s="9">
        <f>'System Parameters'!I41</f>
        <v>0</v>
      </c>
      <c r="T89" s="9">
        <f>'System Parameters'!J41</f>
        <v>0</v>
      </c>
      <c r="U89" s="9">
        <f>'System Parameters'!K41</f>
        <v>0</v>
      </c>
      <c r="V89" s="9">
        <f>'System Parameters'!L41</f>
        <v>0</v>
      </c>
    </row>
    <row r="90" spans="1:23" ht="15.75" customHeight="1" x14ac:dyDescent="0.15">
      <c r="A90" s="9" t="str">
        <f>'System Parameters'!L28</f>
        <v>"interactive"</v>
      </c>
      <c r="B90" s="9">
        <f>SUMPRODUCT(B56:B76, $V56:$V76)</f>
        <v>0</v>
      </c>
      <c r="C90" s="9" t="str">
        <f>'System Parameters'!N28</f>
        <v>mW</v>
      </c>
      <c r="D90" s="9">
        <f t="shared" ref="D90:O90" si="18">SUMPRODUCT(D56:D76, $V56:$V76)</f>
        <v>0</v>
      </c>
      <c r="E90" s="9">
        <f t="shared" si="18"/>
        <v>0</v>
      </c>
      <c r="F90" s="9">
        <f t="shared" si="18"/>
        <v>0</v>
      </c>
      <c r="G90" s="9">
        <f t="shared" si="18"/>
        <v>0</v>
      </c>
      <c r="H90" s="9">
        <f t="shared" si="18"/>
        <v>0</v>
      </c>
      <c r="I90" s="9">
        <f t="shared" si="18"/>
        <v>0</v>
      </c>
      <c r="J90" s="9">
        <f t="shared" si="18"/>
        <v>0</v>
      </c>
      <c r="K90" s="9">
        <f t="shared" si="18"/>
        <v>0</v>
      </c>
      <c r="L90" s="9">
        <f t="shared" si="18"/>
        <v>0</v>
      </c>
      <c r="M90" s="9">
        <f t="shared" si="18"/>
        <v>0</v>
      </c>
      <c r="N90" s="9">
        <f t="shared" si="18"/>
        <v>0</v>
      </c>
      <c r="O90" s="9">
        <f t="shared" si="18"/>
        <v>0</v>
      </c>
      <c r="R90" s="9">
        <f>'System Parameters'!Q29</f>
        <v>0</v>
      </c>
      <c r="S90" s="9">
        <f>'System Parameters'!I42</f>
        <v>0</v>
      </c>
      <c r="T90" s="9">
        <f>'System Parameters'!J42</f>
        <v>0</v>
      </c>
      <c r="U90" s="9">
        <f>'System Parameters'!K42</f>
        <v>0</v>
      </c>
      <c r="V90" s="9">
        <f>'System Parameters'!L42</f>
        <v>0</v>
      </c>
    </row>
    <row r="91" spans="1:23" ht="15.75" customHeight="1" x14ac:dyDescent="0.15">
      <c r="A91" s="9">
        <f>'System Parameters'!L29</f>
        <v>0</v>
      </c>
      <c r="B91" s="9">
        <f>'System Parameters'!M29</f>
        <v>0</v>
      </c>
      <c r="C91" s="9">
        <f>'System Parameters'!N29</f>
        <v>0</v>
      </c>
      <c r="D91" s="9">
        <f>'System Parameters'!O29</f>
        <v>0</v>
      </c>
      <c r="E91" s="9">
        <f>'System Parameters'!P29</f>
        <v>0</v>
      </c>
      <c r="F91" s="9">
        <f>'System Parameters'!Q30</f>
        <v>0</v>
      </c>
      <c r="G91" s="9">
        <f>'System Parameters'!I43</f>
        <v>0</v>
      </c>
      <c r="H91" s="9">
        <f>'System Parameters'!J43</f>
        <v>0</v>
      </c>
      <c r="I91" s="9">
        <f>'System Parameters'!K43</f>
        <v>0</v>
      </c>
      <c r="J91" s="9">
        <f>'System Parameters'!L43</f>
        <v>0</v>
      </c>
      <c r="K91" s="9">
        <f>'System Parameters'!M43</f>
        <v>0</v>
      </c>
      <c r="L91" s="9">
        <f>'System Parameters'!N43</f>
        <v>0</v>
      </c>
      <c r="M91" s="9">
        <f>'System Parameters'!O43</f>
        <v>0</v>
      </c>
      <c r="N91" s="9">
        <f>'System Parameters'!P43</f>
        <v>0</v>
      </c>
      <c r="O91" s="9">
        <f>'System Parameters'!Q43</f>
        <v>0</v>
      </c>
      <c r="R91" s="9">
        <f>'System Parameters'!Q30</f>
        <v>0</v>
      </c>
      <c r="S91" s="9">
        <f>'System Parameters'!I43</f>
        <v>0</v>
      </c>
      <c r="T91" s="9">
        <f>'System Parameters'!J43</f>
        <v>0</v>
      </c>
      <c r="U91" s="9">
        <f>'System Parameters'!K43</f>
        <v>0</v>
      </c>
      <c r="V91" s="9">
        <f>'System Parameters'!L43</f>
        <v>0</v>
      </c>
    </row>
    <row r="92" spans="1:23" ht="15.75" customHeight="1" x14ac:dyDescent="0.15">
      <c r="A92" s="9" t="str">
        <f>'System Parameters'!L30</f>
        <v>Effective Battery Capacity</v>
      </c>
      <c r="B92" s="9">
        <f>'System Parameters'!M30</f>
        <v>0</v>
      </c>
      <c r="C92" s="9">
        <f>'System Parameters'!N30</f>
        <v>0</v>
      </c>
      <c r="D92" s="9">
        <f>'System Parameters'!O30</f>
        <v>0</v>
      </c>
      <c r="E92" s="9">
        <f>'System Parameters'!P30</f>
        <v>0</v>
      </c>
      <c r="F92" s="9">
        <f>'System Parameters'!Q31</f>
        <v>0</v>
      </c>
      <c r="G92" s="9">
        <f>'System Parameters'!I44</f>
        <v>0</v>
      </c>
      <c r="H92" s="9">
        <f>'System Parameters'!J44</f>
        <v>0</v>
      </c>
      <c r="I92" s="9">
        <f>'System Parameters'!K44</f>
        <v>0</v>
      </c>
      <c r="J92" s="9">
        <f>'System Parameters'!L44</f>
        <v>0</v>
      </c>
      <c r="K92" s="9">
        <f>'System Parameters'!M44</f>
        <v>0</v>
      </c>
      <c r="L92" s="9">
        <f>'System Parameters'!N44</f>
        <v>0</v>
      </c>
      <c r="M92" s="9">
        <f>'System Parameters'!O44</f>
        <v>0</v>
      </c>
      <c r="N92" s="9">
        <f>'System Parameters'!P44</f>
        <v>0</v>
      </c>
      <c r="O92" s="9">
        <f>'System Parameters'!Q44</f>
        <v>0</v>
      </c>
      <c r="P92" s="9">
        <f>'System Parameters'!O30</f>
        <v>0</v>
      </c>
      <c r="Q92" s="9">
        <f>'System Parameters'!P30</f>
        <v>0</v>
      </c>
      <c r="R92" s="9">
        <f>'System Parameters'!Q31</f>
        <v>0</v>
      </c>
      <c r="S92" s="9">
        <f>'System Parameters'!I44</f>
        <v>0</v>
      </c>
      <c r="T92" s="9">
        <f>'System Parameters'!J44</f>
        <v>0</v>
      </c>
      <c r="U92" s="9">
        <f>'System Parameters'!K44</f>
        <v>0</v>
      </c>
      <c r="V92" s="9">
        <f>'System Parameters'!L44</f>
        <v>0</v>
      </c>
    </row>
    <row r="93" spans="1:23" ht="15.75" customHeight="1" x14ac:dyDescent="0.15">
      <c r="A93" s="9">
        <f>'System Parameters'!L31</f>
        <v>0</v>
      </c>
      <c r="B93" s="9">
        <f>B80*B81*B82</f>
        <v>3.11355</v>
      </c>
      <c r="C93" s="9" t="str">
        <f>'System Parameters'!N31</f>
        <v>mW*h</v>
      </c>
      <c r="D93" s="9">
        <f t="shared" ref="D93:O93" si="19">$B93</f>
        <v>3.11355</v>
      </c>
      <c r="E93" s="9">
        <f t="shared" si="19"/>
        <v>3.11355</v>
      </c>
      <c r="F93" s="9">
        <f t="shared" si="19"/>
        <v>3.11355</v>
      </c>
      <c r="G93" s="9">
        <f t="shared" si="19"/>
        <v>3.11355</v>
      </c>
      <c r="H93" s="9">
        <f t="shared" si="19"/>
        <v>3.11355</v>
      </c>
      <c r="I93" s="9">
        <f t="shared" si="19"/>
        <v>3.11355</v>
      </c>
      <c r="J93" s="9">
        <f t="shared" si="19"/>
        <v>3.11355</v>
      </c>
      <c r="K93" s="9">
        <f t="shared" si="19"/>
        <v>3.11355</v>
      </c>
      <c r="L93" s="9">
        <f t="shared" si="19"/>
        <v>3.11355</v>
      </c>
      <c r="M93" s="9">
        <f t="shared" si="19"/>
        <v>3.11355</v>
      </c>
      <c r="N93" s="9">
        <f t="shared" si="19"/>
        <v>3.11355</v>
      </c>
      <c r="O93" s="9">
        <f t="shared" si="19"/>
        <v>3.11355</v>
      </c>
      <c r="P93" s="9">
        <f>'System Parameters'!O31</f>
        <v>0</v>
      </c>
      <c r="Q93" s="9">
        <f>'System Parameters'!P31</f>
        <v>0</v>
      </c>
      <c r="R93" s="9">
        <f>'System Parameters'!Q32</f>
        <v>0</v>
      </c>
      <c r="S93" s="9">
        <f>'System Parameters'!I45</f>
        <v>0</v>
      </c>
      <c r="T93" s="9">
        <f>'System Parameters'!J45</f>
        <v>0</v>
      </c>
      <c r="U93" s="9">
        <f>'System Parameters'!K45</f>
        <v>0</v>
      </c>
      <c r="V93" s="9">
        <f>'System Parameters'!L45</f>
        <v>0</v>
      </c>
    </row>
    <row r="94" spans="1:23" ht="15.75" customHeight="1" x14ac:dyDescent="0.15">
      <c r="A94" s="9">
        <f>'System Parameters'!L32</f>
        <v>0</v>
      </c>
      <c r="B94" s="9">
        <f>'System Parameters'!M32</f>
        <v>0</v>
      </c>
      <c r="C94" s="9">
        <f>'System Parameters'!N32</f>
        <v>0</v>
      </c>
      <c r="D94" s="9">
        <f>'System Parameters'!O32</f>
        <v>0</v>
      </c>
      <c r="E94" s="9">
        <f>'System Parameters'!P32</f>
        <v>0</v>
      </c>
      <c r="F94" s="9">
        <f>'System Parameters'!Q33</f>
        <v>0</v>
      </c>
      <c r="G94" s="9">
        <f>'System Parameters'!I46</f>
        <v>0</v>
      </c>
      <c r="H94" s="9">
        <f>'System Parameters'!J46</f>
        <v>0</v>
      </c>
      <c r="I94" s="9">
        <f>'System Parameters'!K46</f>
        <v>0</v>
      </c>
      <c r="J94" s="9">
        <f>'System Parameters'!L46</f>
        <v>0</v>
      </c>
      <c r="K94" s="9">
        <f>'System Parameters'!M46</f>
        <v>0</v>
      </c>
      <c r="L94" s="9">
        <f>'System Parameters'!N46</f>
        <v>0</v>
      </c>
      <c r="M94" s="9">
        <f>'System Parameters'!O46</f>
        <v>0</v>
      </c>
      <c r="N94" s="9">
        <f>'System Parameters'!P46</f>
        <v>0</v>
      </c>
      <c r="O94" s="9">
        <f>'System Parameters'!Q46</f>
        <v>0</v>
      </c>
      <c r="P94" s="9">
        <f>'System Parameters'!O32</f>
        <v>0</v>
      </c>
      <c r="Q94" s="9">
        <f>'System Parameters'!P32</f>
        <v>0</v>
      </c>
      <c r="R94" s="9">
        <f>'System Parameters'!Q33</f>
        <v>0</v>
      </c>
      <c r="S94" s="9">
        <f>'System Parameters'!I46</f>
        <v>0</v>
      </c>
      <c r="T94" s="9">
        <f>'System Parameters'!J46</f>
        <v>0</v>
      </c>
      <c r="U94" s="9">
        <f>'System Parameters'!K46</f>
        <v>0</v>
      </c>
      <c r="V94" s="9">
        <f>'System Parameters'!L46</f>
        <v>0</v>
      </c>
    </row>
    <row r="95" spans="1:23" ht="15.75" customHeight="1" x14ac:dyDescent="0.15">
      <c r="A95" s="9" t="str">
        <f>'System Parameters'!L33</f>
        <v>Days of Use</v>
      </c>
      <c r="B95" s="9">
        <f>B93/($T78*B88+$U78*B89+$V78*B90)</f>
        <v>2.4825799599572304E-3</v>
      </c>
      <c r="C95" s="9" t="str">
        <f>'System Parameters'!N33</f>
        <v>days</v>
      </c>
      <c r="D95" s="9">
        <f t="shared" ref="D95:O95" si="20">D93/($T78*D88+$U78*D89+$V78*D90)</f>
        <v>2.5471649490861519E-3</v>
      </c>
      <c r="E95" s="9">
        <f t="shared" si="20"/>
        <v>2.4834781759733985E-3</v>
      </c>
      <c r="F95" s="9">
        <f t="shared" si="20"/>
        <v>2.4825799599572304E-3</v>
      </c>
      <c r="G95" s="9">
        <f t="shared" si="20"/>
        <v>2.4825799599572304E-3</v>
      </c>
      <c r="H95" s="9">
        <f t="shared" si="20"/>
        <v>2.4827076428450968E-3</v>
      </c>
      <c r="I95" s="9">
        <f t="shared" si="20"/>
        <v>2.4825799599572304E-3</v>
      </c>
      <c r="J95" s="9">
        <f t="shared" si="20"/>
        <v>2.4825799599572304E-3</v>
      </c>
      <c r="K95" s="9">
        <f t="shared" si="20"/>
        <v>2.4825799599572304E-3</v>
      </c>
      <c r="L95" s="9">
        <f t="shared" si="20"/>
        <v>2.4825799599572304E-3</v>
      </c>
      <c r="M95" s="9">
        <f t="shared" si="20"/>
        <v>2.6607922513094376E-3</v>
      </c>
      <c r="N95" s="9">
        <f t="shared" si="20"/>
        <v>2.4825799599572304E-3</v>
      </c>
      <c r="O95" s="9">
        <f t="shared" si="20"/>
        <v>2.4825799599572304E-3</v>
      </c>
      <c r="P95" s="9">
        <f>'System Parameters'!O33</f>
        <v>0</v>
      </c>
      <c r="Q95" s="9">
        <f>'System Parameters'!P33</f>
        <v>0</v>
      </c>
      <c r="R95" s="9">
        <f>'System Parameters'!Q34</f>
        <v>0</v>
      </c>
      <c r="S95" s="9">
        <f>'System Parameters'!I47</f>
        <v>0</v>
      </c>
      <c r="T95" s="9">
        <f>'System Parameters'!J47</f>
        <v>0</v>
      </c>
      <c r="U95" s="9">
        <f>'System Parameters'!K47</f>
        <v>0</v>
      </c>
      <c r="V95" s="9">
        <f>'System Parameters'!L47</f>
        <v>0</v>
      </c>
    </row>
    <row r="96" spans="1:23" ht="15.75" customHeight="1" x14ac:dyDescent="0.15">
      <c r="A96" s="9" t="str">
        <f>'System Parameters'!L34</f>
        <v>Hours of Use</v>
      </c>
      <c r="B96" s="9">
        <f>B95*24</f>
        <v>5.958191903897353E-2</v>
      </c>
      <c r="C96" s="9" t="str">
        <f>'System Parameters'!N34</f>
        <v>hours</v>
      </c>
      <c r="D96" s="9">
        <f t="shared" ref="D96:O96" si="21">D95*24</f>
        <v>6.1131958778067645E-2</v>
      </c>
      <c r="E96" s="9">
        <f t="shared" si="21"/>
        <v>5.9603476223361568E-2</v>
      </c>
      <c r="F96" s="9">
        <f t="shared" si="21"/>
        <v>5.958191903897353E-2</v>
      </c>
      <c r="G96" s="9">
        <f t="shared" si="21"/>
        <v>5.958191903897353E-2</v>
      </c>
      <c r="H96" s="9">
        <f t="shared" si="21"/>
        <v>5.958498342828232E-2</v>
      </c>
      <c r="I96" s="9">
        <f t="shared" si="21"/>
        <v>5.958191903897353E-2</v>
      </c>
      <c r="J96" s="9">
        <f t="shared" si="21"/>
        <v>5.958191903897353E-2</v>
      </c>
      <c r="K96" s="9">
        <f t="shared" si="21"/>
        <v>5.958191903897353E-2</v>
      </c>
      <c r="L96" s="9">
        <f t="shared" si="21"/>
        <v>5.958191903897353E-2</v>
      </c>
      <c r="M96" s="9">
        <f t="shared" si="21"/>
        <v>6.3859014031426506E-2</v>
      </c>
      <c r="N96" s="9">
        <f t="shared" si="21"/>
        <v>5.958191903897353E-2</v>
      </c>
      <c r="O96" s="9">
        <f t="shared" si="21"/>
        <v>5.958191903897353E-2</v>
      </c>
      <c r="P96" s="9">
        <f>'System Parameters'!O34</f>
        <v>0</v>
      </c>
      <c r="Q96" s="9">
        <f>'System Parameters'!P34</f>
        <v>0</v>
      </c>
      <c r="R96" s="9">
        <f>'System Parameters'!Q35</f>
        <v>0</v>
      </c>
      <c r="S96" s="9">
        <f>'System Parameters'!I48</f>
        <v>0</v>
      </c>
      <c r="T96" s="9">
        <f>'System Parameters'!J48</f>
        <v>0</v>
      </c>
      <c r="U96" s="9">
        <f>'System Parameters'!K48</f>
        <v>0</v>
      </c>
      <c r="V96" s="9">
        <f>'System Parameters'!L48</f>
        <v>0</v>
      </c>
    </row>
    <row r="97" spans="1:22" ht="15.75" customHeight="1" x14ac:dyDescent="0.15">
      <c r="A97" s="9">
        <f>'System Parameters'!A49</f>
        <v>0</v>
      </c>
      <c r="B97" s="9">
        <f>'System Parameters'!K36</f>
        <v>0</v>
      </c>
      <c r="C97" s="9">
        <f>'System Parameters'!L36</f>
        <v>0</v>
      </c>
      <c r="D97" s="9">
        <f>'System Parameters'!M36</f>
        <v>0</v>
      </c>
      <c r="O97" s="9">
        <f>'System Parameters'!N36</f>
        <v>0</v>
      </c>
      <c r="P97" s="9">
        <f>'System Parameters'!O36</f>
        <v>0</v>
      </c>
      <c r="Q97" s="9">
        <f>'System Parameters'!P36</f>
        <v>0</v>
      </c>
      <c r="R97" s="9">
        <f>'System Parameters'!Q36</f>
        <v>0</v>
      </c>
      <c r="S97" s="9">
        <f>'System Parameters'!I49</f>
        <v>0</v>
      </c>
      <c r="T97" s="9">
        <f>'System Parameters'!J49</f>
        <v>0</v>
      </c>
      <c r="U97" s="9">
        <f>'System Parameters'!K49</f>
        <v>0</v>
      </c>
      <c r="V97" s="9">
        <f>'System Parameters'!L49</f>
        <v>0</v>
      </c>
    </row>
    <row r="98" spans="1:22" ht="15.75" customHeight="1" x14ac:dyDescent="0.15">
      <c r="A98" s="9" t="s">
        <v>40</v>
      </c>
      <c r="B98" s="9">
        <f>'System Parameters'!K37</f>
        <v>0</v>
      </c>
      <c r="C98" s="9">
        <f>'System Parameters'!L37</f>
        <v>0</v>
      </c>
      <c r="D98" s="24">
        <f t="shared" ref="D98:O98" si="22">D96/$B96-1</f>
        <v>2.6015270472913299E-2</v>
      </c>
      <c r="E98" s="24">
        <f t="shared" si="22"/>
        <v>3.6180748683056763E-4</v>
      </c>
      <c r="F98" s="24">
        <f t="shared" si="22"/>
        <v>0</v>
      </c>
      <c r="G98" s="24">
        <f t="shared" si="22"/>
        <v>0</v>
      </c>
      <c r="H98" s="24">
        <f t="shared" si="22"/>
        <v>5.1431530877499299E-5</v>
      </c>
      <c r="I98" s="24">
        <f t="shared" si="22"/>
        <v>0</v>
      </c>
      <c r="J98" s="24">
        <f t="shared" si="22"/>
        <v>0</v>
      </c>
      <c r="K98" s="24">
        <f t="shared" si="22"/>
        <v>0</v>
      </c>
      <c r="L98" s="24">
        <f t="shared" si="22"/>
        <v>0</v>
      </c>
      <c r="M98" s="24">
        <f t="shared" si="22"/>
        <v>7.1785116381620107E-2</v>
      </c>
      <c r="N98" s="24">
        <f t="shared" si="22"/>
        <v>0</v>
      </c>
      <c r="O98" s="24">
        <f t="shared" si="22"/>
        <v>0</v>
      </c>
      <c r="P98" s="9">
        <f>'System Parameters'!O37</f>
        <v>0</v>
      </c>
      <c r="Q98" s="9">
        <f>'System Parameters'!P37</f>
        <v>0</v>
      </c>
      <c r="R98" s="9">
        <f>'System Parameters'!Q37</f>
        <v>0</v>
      </c>
      <c r="S98" s="9">
        <f>'System Parameters'!I50</f>
        <v>0</v>
      </c>
      <c r="T98" s="9">
        <f>'System Parameters'!J50</f>
        <v>0</v>
      </c>
      <c r="U98" s="9">
        <f>'System Parameters'!K50</f>
        <v>0</v>
      </c>
      <c r="V98" s="9">
        <f>'System Parameters'!L50</f>
        <v>0</v>
      </c>
    </row>
    <row r="99" spans="1:22" ht="15.75" customHeight="1" x14ac:dyDescent="0.15">
      <c r="A99" s="9" t="s">
        <v>41</v>
      </c>
      <c r="B99" s="9">
        <f>'System Parameters'!K38</f>
        <v>0</v>
      </c>
      <c r="C99" s="9">
        <f>'System Parameters'!L38</f>
        <v>0</v>
      </c>
      <c r="D99" s="9" t="s">
        <v>42</v>
      </c>
      <c r="E99" s="9" t="s">
        <v>43</v>
      </c>
      <c r="F99" s="9" t="s">
        <v>44</v>
      </c>
      <c r="G99" s="9" t="s">
        <v>45</v>
      </c>
      <c r="H99" s="9" t="s">
        <v>46</v>
      </c>
      <c r="I99" s="9" t="s">
        <v>47</v>
      </c>
      <c r="J99" s="9" t="s">
        <v>48</v>
      </c>
      <c r="K99" s="9" t="s">
        <v>49</v>
      </c>
      <c r="L99" s="9" t="s">
        <v>50</v>
      </c>
      <c r="M99" s="9" t="s">
        <v>51</v>
      </c>
      <c r="N99" s="9" t="s">
        <v>52</v>
      </c>
      <c r="O99" s="9" t="s">
        <v>53</v>
      </c>
      <c r="P99" s="9">
        <f>'System Parameters'!O38</f>
        <v>0</v>
      </c>
      <c r="Q99" s="9">
        <f>'System Parameters'!P38</f>
        <v>0</v>
      </c>
      <c r="R99" s="9">
        <f>'System Parameters'!Q38</f>
        <v>0</v>
      </c>
      <c r="S99" s="9">
        <f>'System Parameters'!I51</f>
        <v>0</v>
      </c>
      <c r="T99" s="9">
        <f>'System Parameters'!J51</f>
        <v>0</v>
      </c>
      <c r="U99" s="9">
        <f>'System Parameters'!K51</f>
        <v>0</v>
      </c>
      <c r="V99" s="9">
        <f>'System Parameters'!L51</f>
        <v>0</v>
      </c>
    </row>
    <row r="100" spans="1:22" ht="15.75" customHeight="1" x14ac:dyDescent="0.15">
      <c r="A100" s="9">
        <f>'System Parameters'!A52</f>
        <v>0</v>
      </c>
      <c r="B100" s="9">
        <f>'System Parameters'!B52</f>
        <v>0</v>
      </c>
      <c r="C100" s="9">
        <f>'System Parameters'!C52</f>
        <v>0</v>
      </c>
      <c r="D100" s="9">
        <f>'System Parameters'!D52</f>
        <v>0</v>
      </c>
      <c r="O100" s="9">
        <f>'System Parameters'!E52</f>
        <v>0</v>
      </c>
      <c r="P100" s="9">
        <f>'System Parameters'!F52</f>
        <v>0</v>
      </c>
      <c r="Q100" s="9">
        <f>'System Parameters'!G52</f>
        <v>0</v>
      </c>
      <c r="R100" s="9">
        <f>'System Parameters'!H52</f>
        <v>0</v>
      </c>
      <c r="S100" s="9">
        <f>'System Parameters'!I52</f>
        <v>0</v>
      </c>
      <c r="T100" s="9">
        <f>'System Parameters'!J52</f>
        <v>0</v>
      </c>
      <c r="U100" s="9">
        <f>'System Parameters'!K52</f>
        <v>0</v>
      </c>
      <c r="V100" s="9">
        <f>'System Parameters'!L52</f>
        <v>0</v>
      </c>
    </row>
    <row r="101" spans="1:22" ht="15.75" customHeight="1" x14ac:dyDescent="0.15">
      <c r="A101" s="9">
        <f>'System Parameters'!A53</f>
        <v>0</v>
      </c>
      <c r="B101" s="9">
        <f>'System Parameters'!B53</f>
        <v>0</v>
      </c>
      <c r="C101" s="9">
        <f>'System Parameters'!C53</f>
        <v>0</v>
      </c>
      <c r="D101" s="9">
        <f>'System Parameters'!D53</f>
        <v>0</v>
      </c>
      <c r="O101" s="9">
        <f>'System Parameters'!E53</f>
        <v>0</v>
      </c>
      <c r="P101" s="9">
        <f>'System Parameters'!F53</f>
        <v>0</v>
      </c>
      <c r="Q101" s="9">
        <f>'System Parameters'!G53</f>
        <v>0</v>
      </c>
      <c r="R101" s="9">
        <f>'System Parameters'!H53</f>
        <v>0</v>
      </c>
      <c r="S101" s="9">
        <f>'System Parameters'!I53</f>
        <v>0</v>
      </c>
      <c r="T101" s="9">
        <f>'System Parameters'!J53</f>
        <v>0</v>
      </c>
      <c r="U101" s="9">
        <f>'System Parameters'!K53</f>
        <v>0</v>
      </c>
      <c r="V101" s="9">
        <f>'System Parameters'!L53</f>
        <v>0</v>
      </c>
    </row>
    <row r="102" spans="1:22" ht="15.75" customHeight="1" x14ac:dyDescent="0.15">
      <c r="A102" s="9">
        <f>'System Parameters'!A54</f>
        <v>0</v>
      </c>
      <c r="B102" s="9">
        <f>'System Parameters'!B54</f>
        <v>0</v>
      </c>
      <c r="C102" s="9">
        <f>'System Parameters'!C54</f>
        <v>0</v>
      </c>
      <c r="D102" s="9">
        <f>'System Parameters'!D54</f>
        <v>0</v>
      </c>
      <c r="O102" s="9">
        <f>'System Parameters'!E54</f>
        <v>0</v>
      </c>
      <c r="P102" s="9">
        <f>'System Parameters'!F54</f>
        <v>0</v>
      </c>
      <c r="Q102" s="9">
        <f>'System Parameters'!G54</f>
        <v>0</v>
      </c>
      <c r="R102" s="9">
        <f>'System Parameters'!H54</f>
        <v>0</v>
      </c>
      <c r="S102" s="9">
        <f>'System Parameters'!I54</f>
        <v>0</v>
      </c>
      <c r="T102" s="9">
        <f>'System Parameters'!J54</f>
        <v>0</v>
      </c>
      <c r="U102" s="9">
        <f>'System Parameters'!K54</f>
        <v>0</v>
      </c>
      <c r="V102" s="9">
        <f>'System Parameters'!L54</f>
        <v>0</v>
      </c>
    </row>
    <row r="103" spans="1:22" ht="15.75" customHeight="1" x14ac:dyDescent="0.15">
      <c r="A103" s="9">
        <f>'System Parameters'!A55</f>
        <v>0</v>
      </c>
      <c r="B103" s="9">
        <f>'System Parameters'!B55</f>
        <v>0</v>
      </c>
      <c r="C103" s="9">
        <f>'System Parameters'!C55</f>
        <v>0</v>
      </c>
      <c r="D103" s="9">
        <f>'System Parameters'!D55</f>
        <v>0</v>
      </c>
      <c r="O103" s="9">
        <f>'System Parameters'!E55</f>
        <v>0</v>
      </c>
      <c r="P103" s="9">
        <f>'System Parameters'!F55</f>
        <v>0</v>
      </c>
      <c r="Q103" s="9">
        <f>'System Parameters'!G55</f>
        <v>0</v>
      </c>
      <c r="R103" s="9">
        <f>'System Parameters'!H55</f>
        <v>0</v>
      </c>
      <c r="S103" s="9">
        <f>'System Parameters'!I55</f>
        <v>0</v>
      </c>
      <c r="T103" s="9">
        <f>'System Parameters'!J55</f>
        <v>0</v>
      </c>
      <c r="U103" s="9">
        <f>'System Parameters'!K55</f>
        <v>0</v>
      </c>
      <c r="V103" s="9">
        <f>'System Parameters'!L55</f>
        <v>0</v>
      </c>
    </row>
    <row r="104" spans="1:22" ht="15.75" customHeight="1" x14ac:dyDescent="0.15">
      <c r="A104" s="9">
        <f>'System Parameters'!A56</f>
        <v>0</v>
      </c>
      <c r="B104" s="9">
        <f>'System Parameters'!B56</f>
        <v>0</v>
      </c>
      <c r="C104" s="9">
        <f>'System Parameters'!C56</f>
        <v>0</v>
      </c>
      <c r="D104" s="9">
        <f>'System Parameters'!D56</f>
        <v>0</v>
      </c>
      <c r="O104" s="9">
        <f>'System Parameters'!E56</f>
        <v>0</v>
      </c>
      <c r="P104" s="9">
        <f>'System Parameters'!F56</f>
        <v>0</v>
      </c>
      <c r="Q104" s="9">
        <f>'System Parameters'!G56</f>
        <v>0</v>
      </c>
      <c r="R104" s="9">
        <f>'System Parameters'!H56</f>
        <v>0</v>
      </c>
      <c r="S104" s="9">
        <f>'System Parameters'!I56</f>
        <v>0</v>
      </c>
      <c r="T104" s="9">
        <f>'System Parameters'!J56</f>
        <v>0</v>
      </c>
      <c r="U104" s="9">
        <f>'System Parameters'!K56</f>
        <v>0</v>
      </c>
      <c r="V104" s="9">
        <f>'System Parameters'!L56</f>
        <v>0</v>
      </c>
    </row>
    <row r="105" spans="1:22" ht="15.75" customHeight="1" x14ac:dyDescent="0.15">
      <c r="A105" s="9">
        <f>'System Parameters'!A57</f>
        <v>0</v>
      </c>
      <c r="B105" s="9">
        <f>'System Parameters'!B57</f>
        <v>0</v>
      </c>
      <c r="C105" s="9">
        <f>'System Parameters'!C57</f>
        <v>0</v>
      </c>
      <c r="D105" s="9">
        <f>'System Parameters'!D57</f>
        <v>0</v>
      </c>
      <c r="O105" s="9">
        <f>'System Parameters'!E57</f>
        <v>0</v>
      </c>
      <c r="P105" s="9">
        <f>'System Parameters'!F57</f>
        <v>0</v>
      </c>
      <c r="Q105" s="9">
        <f>'System Parameters'!G57</f>
        <v>0</v>
      </c>
      <c r="R105" s="9">
        <f>'System Parameters'!H57</f>
        <v>0</v>
      </c>
      <c r="S105" s="9">
        <f>'System Parameters'!I57</f>
        <v>0</v>
      </c>
      <c r="T105" s="9">
        <f>'System Parameters'!J57</f>
        <v>0</v>
      </c>
      <c r="U105" s="9">
        <f>'System Parameters'!K57</f>
        <v>0</v>
      </c>
      <c r="V105" s="9">
        <f>'System Parameters'!L57</f>
        <v>0</v>
      </c>
    </row>
    <row r="106" spans="1:22" ht="15.75" customHeight="1" x14ac:dyDescent="0.15">
      <c r="A106" s="9">
        <f>'System Parameters'!A58</f>
        <v>0</v>
      </c>
      <c r="B106" s="9">
        <f>'System Parameters'!B58</f>
        <v>0</v>
      </c>
      <c r="C106" s="9">
        <f>'System Parameters'!C58</f>
        <v>0</v>
      </c>
      <c r="D106" s="9">
        <f>'System Parameters'!D58</f>
        <v>0</v>
      </c>
      <c r="O106" s="9">
        <f>'System Parameters'!E58</f>
        <v>0</v>
      </c>
      <c r="P106" s="9">
        <f>'System Parameters'!F58</f>
        <v>0</v>
      </c>
      <c r="Q106" s="9">
        <f>'System Parameters'!G58</f>
        <v>0</v>
      </c>
      <c r="R106" s="9">
        <f>'System Parameters'!H58</f>
        <v>0</v>
      </c>
      <c r="S106" s="9">
        <f>'System Parameters'!I58</f>
        <v>0</v>
      </c>
      <c r="T106" s="9">
        <f>'System Parameters'!J58</f>
        <v>0</v>
      </c>
      <c r="U106" s="9">
        <f>'System Parameters'!K58</f>
        <v>0</v>
      </c>
      <c r="V106" s="9">
        <f>'System Parameters'!L58</f>
        <v>0</v>
      </c>
    </row>
    <row r="107" spans="1:22" ht="15.75" customHeight="1" x14ac:dyDescent="0.15">
      <c r="A107" s="9">
        <f>'System Parameters'!A59</f>
        <v>0</v>
      </c>
      <c r="B107" s="9">
        <f>'System Parameters'!B59</f>
        <v>0</v>
      </c>
      <c r="C107" s="9">
        <f>'System Parameters'!C59</f>
        <v>0</v>
      </c>
      <c r="D107" s="9">
        <f>'System Parameters'!D59</f>
        <v>0</v>
      </c>
      <c r="O107" s="9">
        <f>'System Parameters'!E59</f>
        <v>0</v>
      </c>
      <c r="P107" s="9">
        <f>'System Parameters'!F59</f>
        <v>0</v>
      </c>
      <c r="Q107" s="9">
        <f>'System Parameters'!G59</f>
        <v>0</v>
      </c>
      <c r="R107" s="9">
        <f>'System Parameters'!H59</f>
        <v>0</v>
      </c>
      <c r="S107" s="9">
        <f>'System Parameters'!I59</f>
        <v>0</v>
      </c>
      <c r="T107" s="9">
        <f>'System Parameters'!J59</f>
        <v>0</v>
      </c>
      <c r="U107" s="9">
        <f>'System Parameters'!K59</f>
        <v>0</v>
      </c>
      <c r="V107" s="9">
        <f>'System Parameters'!L59</f>
        <v>0</v>
      </c>
    </row>
    <row r="108" spans="1:22" ht="15.75" customHeight="1" x14ac:dyDescent="0.15">
      <c r="A108" s="9">
        <f>'System Parameters'!A60</f>
        <v>0</v>
      </c>
      <c r="B108" s="9">
        <f>'System Parameters'!B60</f>
        <v>0</v>
      </c>
      <c r="C108" s="9">
        <f>'System Parameters'!C60</f>
        <v>0</v>
      </c>
      <c r="D108" s="9">
        <f>'System Parameters'!D60</f>
        <v>0</v>
      </c>
      <c r="O108" s="9">
        <f>'System Parameters'!E60</f>
        <v>0</v>
      </c>
      <c r="P108" s="9">
        <f>'System Parameters'!F60</f>
        <v>0</v>
      </c>
      <c r="Q108" s="9">
        <f>'System Parameters'!G60</f>
        <v>0</v>
      </c>
      <c r="R108" s="9">
        <f>'System Parameters'!H60</f>
        <v>0</v>
      </c>
      <c r="S108" s="9">
        <f>'System Parameters'!I60</f>
        <v>0</v>
      </c>
      <c r="T108" s="9">
        <f>'System Parameters'!J60</f>
        <v>0</v>
      </c>
      <c r="U108" s="9">
        <f>'System Parameters'!K60</f>
        <v>0</v>
      </c>
      <c r="V108" s="9">
        <f>'System Parameters'!L60</f>
        <v>0</v>
      </c>
    </row>
    <row r="109" spans="1:22" ht="15.75" customHeight="1" x14ac:dyDescent="0.15">
      <c r="A109" s="9">
        <f>'System Parameters'!A61</f>
        <v>0</v>
      </c>
      <c r="B109" s="9">
        <f>'System Parameters'!B61</f>
        <v>0</v>
      </c>
      <c r="C109" s="9">
        <f>'System Parameters'!C61</f>
        <v>0</v>
      </c>
      <c r="D109" s="9">
        <f>'System Parameters'!D61</f>
        <v>0</v>
      </c>
      <c r="O109" s="9">
        <f>'System Parameters'!E61</f>
        <v>0</v>
      </c>
      <c r="P109" s="9">
        <f>'System Parameters'!F61</f>
        <v>0</v>
      </c>
      <c r="Q109" s="9">
        <f>'System Parameters'!G61</f>
        <v>0</v>
      </c>
      <c r="R109" s="9">
        <f>'System Parameters'!H61</f>
        <v>0</v>
      </c>
      <c r="S109" s="9">
        <f>'System Parameters'!I61</f>
        <v>0</v>
      </c>
      <c r="T109" s="9">
        <f>'System Parameters'!J61</f>
        <v>0</v>
      </c>
      <c r="U109" s="9">
        <f>'System Parameters'!K61</f>
        <v>0</v>
      </c>
      <c r="V109" s="9">
        <f>'System Parameters'!L61</f>
        <v>0</v>
      </c>
    </row>
    <row r="110" spans="1:22" ht="15.75" customHeight="1" x14ac:dyDescent="0.15">
      <c r="A110" s="9">
        <f>'System Parameters'!A62</f>
        <v>0</v>
      </c>
      <c r="B110" s="9">
        <f>'System Parameters'!B62</f>
        <v>0</v>
      </c>
      <c r="C110" s="9">
        <f>'System Parameters'!C62</f>
        <v>0</v>
      </c>
      <c r="D110" s="9">
        <f>'System Parameters'!D62</f>
        <v>0</v>
      </c>
      <c r="O110" s="9">
        <f>'System Parameters'!E62</f>
        <v>0</v>
      </c>
      <c r="P110" s="9">
        <f>'System Parameters'!F62</f>
        <v>0</v>
      </c>
      <c r="Q110" s="9">
        <f>'System Parameters'!G62</f>
        <v>0</v>
      </c>
      <c r="R110" s="9">
        <f>'System Parameters'!H62</f>
        <v>0</v>
      </c>
      <c r="S110" s="9">
        <f>'System Parameters'!I62</f>
        <v>0</v>
      </c>
      <c r="T110" s="9">
        <f>'System Parameters'!J62</f>
        <v>0</v>
      </c>
      <c r="U110" s="9">
        <f>'System Parameters'!K62</f>
        <v>0</v>
      </c>
      <c r="V110" s="9">
        <f>'System Parameters'!L62</f>
        <v>0</v>
      </c>
    </row>
    <row r="111" spans="1:22" ht="15.75" customHeight="1" x14ac:dyDescent="0.15">
      <c r="A111" s="9">
        <f>'System Parameters'!A63</f>
        <v>0</v>
      </c>
      <c r="B111" s="9">
        <f>'System Parameters'!B63</f>
        <v>0</v>
      </c>
      <c r="C111" s="9">
        <f>'System Parameters'!C63</f>
        <v>0</v>
      </c>
      <c r="D111" s="9">
        <f>'System Parameters'!D63</f>
        <v>0</v>
      </c>
      <c r="O111" s="9">
        <f>'System Parameters'!E63</f>
        <v>0</v>
      </c>
      <c r="P111" s="9">
        <f>'System Parameters'!F63</f>
        <v>0</v>
      </c>
      <c r="Q111" s="9">
        <f>'System Parameters'!G63</f>
        <v>0</v>
      </c>
      <c r="R111" s="9">
        <f>'System Parameters'!H63</f>
        <v>0</v>
      </c>
      <c r="S111" s="9">
        <f>'System Parameters'!I63</f>
        <v>0</v>
      </c>
      <c r="T111" s="9">
        <f>'System Parameters'!J63</f>
        <v>0</v>
      </c>
      <c r="U111" s="9">
        <f>'System Parameters'!K63</f>
        <v>0</v>
      </c>
      <c r="V111" s="9">
        <f>'System Parameters'!L63</f>
        <v>0</v>
      </c>
    </row>
    <row r="112" spans="1:22" ht="15.75" customHeight="1" x14ac:dyDescent="0.15">
      <c r="A112" s="9">
        <f>'System Parameters'!A64</f>
        <v>0</v>
      </c>
      <c r="B112" s="9">
        <f>'System Parameters'!B64</f>
        <v>0</v>
      </c>
      <c r="C112" s="9">
        <f>'System Parameters'!C64</f>
        <v>0</v>
      </c>
      <c r="D112" s="9">
        <f>'System Parameters'!D64</f>
        <v>0</v>
      </c>
      <c r="O112" s="9">
        <f>'System Parameters'!E64</f>
        <v>0</v>
      </c>
      <c r="P112" s="9">
        <f>'System Parameters'!F64</f>
        <v>0</v>
      </c>
      <c r="Q112" s="9">
        <f>'System Parameters'!G64</f>
        <v>0</v>
      </c>
      <c r="R112" s="9">
        <f>'System Parameters'!H64</f>
        <v>0</v>
      </c>
      <c r="S112" s="9">
        <f>'System Parameters'!I64</f>
        <v>0</v>
      </c>
      <c r="T112" s="9">
        <f>'System Parameters'!J64</f>
        <v>0</v>
      </c>
      <c r="U112" s="9">
        <f>'System Parameters'!K64</f>
        <v>0</v>
      </c>
      <c r="V112" s="9">
        <f>'System Parameters'!L64</f>
        <v>0</v>
      </c>
    </row>
    <row r="113" spans="1:22" ht="15.75" customHeight="1" x14ac:dyDescent="0.15">
      <c r="A113" s="9">
        <f>'System Parameters'!A65</f>
        <v>0</v>
      </c>
      <c r="B113" s="9">
        <f>'System Parameters'!B65</f>
        <v>0</v>
      </c>
      <c r="C113" s="9">
        <f>'System Parameters'!C65</f>
        <v>0</v>
      </c>
      <c r="D113" s="9">
        <f>'System Parameters'!D65</f>
        <v>0</v>
      </c>
      <c r="O113" s="9">
        <f>'System Parameters'!E65</f>
        <v>0</v>
      </c>
      <c r="P113" s="9">
        <f>'System Parameters'!F65</f>
        <v>0</v>
      </c>
      <c r="Q113" s="9">
        <f>'System Parameters'!G65</f>
        <v>0</v>
      </c>
      <c r="R113" s="9">
        <f>'System Parameters'!H65</f>
        <v>0</v>
      </c>
      <c r="S113" s="9">
        <f>'System Parameters'!I65</f>
        <v>0</v>
      </c>
      <c r="T113" s="9">
        <f>'System Parameters'!J65</f>
        <v>0</v>
      </c>
      <c r="U113" s="9">
        <f>'System Parameters'!K65</f>
        <v>0</v>
      </c>
      <c r="V113" s="9">
        <f>'System Parameters'!L65</f>
        <v>0</v>
      </c>
    </row>
    <row r="114" spans="1:22" ht="15.75" customHeight="1" x14ac:dyDescent="0.15">
      <c r="A114" s="9">
        <f>'System Parameters'!A66</f>
        <v>0</v>
      </c>
      <c r="B114" s="9">
        <f>'System Parameters'!B66</f>
        <v>0</v>
      </c>
      <c r="C114" s="9">
        <f>'System Parameters'!C66</f>
        <v>0</v>
      </c>
      <c r="D114" s="9">
        <f>'System Parameters'!D66</f>
        <v>0</v>
      </c>
      <c r="O114" s="9">
        <f>'System Parameters'!E66</f>
        <v>0</v>
      </c>
      <c r="P114" s="9">
        <f>'System Parameters'!F66</f>
        <v>0</v>
      </c>
      <c r="Q114" s="9">
        <f>'System Parameters'!G66</f>
        <v>0</v>
      </c>
      <c r="R114" s="9">
        <f>'System Parameters'!H66</f>
        <v>0</v>
      </c>
      <c r="S114" s="9">
        <f>'System Parameters'!I66</f>
        <v>0</v>
      </c>
      <c r="T114" s="9">
        <f>'System Parameters'!J66</f>
        <v>0</v>
      </c>
      <c r="U114" s="9">
        <f>'System Parameters'!K66</f>
        <v>0</v>
      </c>
      <c r="V114" s="9">
        <f>'System Parameters'!L66</f>
        <v>0</v>
      </c>
    </row>
    <row r="115" spans="1:22" ht="15.75" customHeight="1" x14ac:dyDescent="0.15">
      <c r="A115" s="9">
        <f>'System Parameters'!A67</f>
        <v>0</v>
      </c>
      <c r="B115" s="9">
        <f>'System Parameters'!B67</f>
        <v>0</v>
      </c>
      <c r="C115" s="9">
        <f>'System Parameters'!C67</f>
        <v>0</v>
      </c>
      <c r="D115" s="9">
        <f>'System Parameters'!D67</f>
        <v>0</v>
      </c>
      <c r="O115" s="9">
        <f>'System Parameters'!E67</f>
        <v>0</v>
      </c>
      <c r="P115" s="9">
        <f>'System Parameters'!F67</f>
        <v>0</v>
      </c>
      <c r="Q115" s="9">
        <f>'System Parameters'!G67</f>
        <v>0</v>
      </c>
      <c r="R115" s="9">
        <f>'System Parameters'!H67</f>
        <v>0</v>
      </c>
      <c r="S115" s="9">
        <f>'System Parameters'!I67</f>
        <v>0</v>
      </c>
      <c r="T115" s="9">
        <f>'System Parameters'!J67</f>
        <v>0</v>
      </c>
      <c r="U115" s="9">
        <f>'System Parameters'!K67</f>
        <v>0</v>
      </c>
      <c r="V115" s="9">
        <f>'System Parameters'!L67</f>
        <v>0</v>
      </c>
    </row>
    <row r="116" spans="1:22" ht="15.75" customHeight="1" x14ac:dyDescent="0.15">
      <c r="A116" s="9">
        <f>'System Parameters'!A68</f>
        <v>0</v>
      </c>
      <c r="B116" s="9">
        <f>'System Parameters'!B68</f>
        <v>0</v>
      </c>
      <c r="C116" s="9">
        <f>'System Parameters'!C68</f>
        <v>0</v>
      </c>
      <c r="D116" s="9">
        <f>'System Parameters'!D68</f>
        <v>0</v>
      </c>
      <c r="O116" s="9">
        <f>'System Parameters'!E68</f>
        <v>0</v>
      </c>
      <c r="P116" s="9">
        <f>'System Parameters'!F68</f>
        <v>0</v>
      </c>
      <c r="Q116" s="9">
        <f>'System Parameters'!G68</f>
        <v>0</v>
      </c>
      <c r="R116" s="9">
        <f>'System Parameters'!H68</f>
        <v>0</v>
      </c>
      <c r="S116" s="9">
        <f>'System Parameters'!I68</f>
        <v>0</v>
      </c>
      <c r="T116" s="9">
        <f>'System Parameters'!J68</f>
        <v>0</v>
      </c>
      <c r="U116" s="9">
        <f>'System Parameters'!K68</f>
        <v>0</v>
      </c>
      <c r="V116" s="9">
        <f>'System Parameters'!L68</f>
        <v>0</v>
      </c>
    </row>
    <row r="117" spans="1:22" ht="15.75" customHeight="1" x14ac:dyDescent="0.15">
      <c r="A117" s="9">
        <f>'System Parameters'!A69</f>
        <v>0</v>
      </c>
      <c r="B117" s="9">
        <f>'System Parameters'!B69</f>
        <v>0</v>
      </c>
      <c r="C117" s="9">
        <f>'System Parameters'!C69</f>
        <v>0</v>
      </c>
      <c r="D117" s="9">
        <f>'System Parameters'!D69</f>
        <v>0</v>
      </c>
      <c r="O117" s="9">
        <f>'System Parameters'!E69</f>
        <v>0</v>
      </c>
      <c r="P117" s="9">
        <f>'System Parameters'!F69</f>
        <v>0</v>
      </c>
      <c r="Q117" s="9">
        <f>'System Parameters'!G69</f>
        <v>0</v>
      </c>
      <c r="R117" s="9">
        <f>'System Parameters'!H69</f>
        <v>0</v>
      </c>
      <c r="S117" s="9">
        <f>'System Parameters'!I69</f>
        <v>0</v>
      </c>
      <c r="T117" s="9">
        <f>'System Parameters'!J69</f>
        <v>0</v>
      </c>
      <c r="U117" s="9">
        <f>'System Parameters'!K69</f>
        <v>0</v>
      </c>
      <c r="V117" s="9">
        <f>'System Parameters'!L69</f>
        <v>0</v>
      </c>
    </row>
    <row r="118" spans="1:22" ht="15.75" customHeight="1" x14ac:dyDescent="0.15">
      <c r="A118" s="9">
        <f>'System Parameters'!A70</f>
        <v>0</v>
      </c>
      <c r="B118" s="9">
        <f>'System Parameters'!B70</f>
        <v>0</v>
      </c>
      <c r="C118" s="9">
        <f>'System Parameters'!C70</f>
        <v>0</v>
      </c>
      <c r="D118" s="9">
        <f>'System Parameters'!D70</f>
        <v>0</v>
      </c>
      <c r="O118" s="9">
        <f>'System Parameters'!E70</f>
        <v>0</v>
      </c>
      <c r="P118" s="9">
        <f>'System Parameters'!F70</f>
        <v>0</v>
      </c>
      <c r="Q118" s="9">
        <f>'System Parameters'!G70</f>
        <v>0</v>
      </c>
      <c r="R118" s="9">
        <f>'System Parameters'!H70</f>
        <v>0</v>
      </c>
      <c r="S118" s="9">
        <f>'System Parameters'!I70</f>
        <v>0</v>
      </c>
      <c r="T118" s="9">
        <f>'System Parameters'!J70</f>
        <v>0</v>
      </c>
      <c r="U118" s="9">
        <f>'System Parameters'!K70</f>
        <v>0</v>
      </c>
      <c r="V118" s="9">
        <f>'System Parameters'!L70</f>
        <v>0</v>
      </c>
    </row>
  </sheetData>
  <phoneticPr fontId="5" type="noConversion"/>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System Parameters</vt:lpstr>
      <vt:lpstr>Sensitivity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 Dai</cp:lastModifiedBy>
  <cp:revision>1</cp:revision>
  <dcterms:created xsi:type="dcterms:W3CDTF">2026-02-09T00:59:57Z</dcterms:created>
  <dcterms:modified xsi:type="dcterms:W3CDTF">2026-02-09T01:24:31Z</dcterms:modified>
  <dc:language>en-US</dc:language>
</cp:coreProperties>
</file>